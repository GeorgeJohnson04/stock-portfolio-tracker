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ashboard" sheetId="1" state="visible" r:id="rId1"/>
    <sheet name="Holdings" sheetId="2" state="visible" r:id="rId2"/>
    <sheet name="Trade 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.00"/>
    <numFmt numFmtId="165" formatCode="0.0%"/>
    <numFmt numFmtId="166" formatCode="0.00000000"/>
    <numFmt numFmtId="167" formatCode="\$#,##0.00;\(\$#,##0.00\);&quot;-&quot;"/>
    <numFmt numFmtId="168" formatCode="mm/dd/yyyy"/>
  </numFmts>
  <fonts count="17">
    <font>
      <name val="Calibri"/>
      <family val="2"/>
      <color theme="1"/>
      <sz val="11"/>
      <scheme val="minor"/>
    </font>
    <font>
      <name val="Arial"/>
      <b val="1"/>
      <color rgb="FF1F4E79"/>
      <sz val="14"/>
    </font>
    <font>
      <name val="Arial"/>
      <b val="1"/>
      <color rgb="FFFFFFFF"/>
      <sz val="11"/>
    </font>
    <font>
      <name val="Arial"/>
      <color rgb="FF0000FF"/>
      <sz val="10"/>
    </font>
    <font>
      <name val="Arial"/>
      <color rgb="FF000000"/>
      <sz val="10"/>
    </font>
    <font>
      <name val="Arial"/>
      <b val="1"/>
      <sz val="11"/>
    </font>
    <font>
      <name val="Arial"/>
      <i val="1"/>
      <color rgb="FF666666"/>
      <sz val="9"/>
    </font>
    <font>
      <name val="Arial"/>
      <b val="1"/>
      <color rgb="FF1F4E79"/>
      <sz val="16"/>
    </font>
    <font>
      <name val="Arial"/>
      <b val="1"/>
      <color rgb="FF1F4E79"/>
      <sz val="12"/>
    </font>
    <font>
      <name val="Arial"/>
      <sz val="11"/>
    </font>
    <font>
      <name val="Arial"/>
      <color rgb="FF333333"/>
      <sz val="10"/>
    </font>
    <font>
      <name val="Arial"/>
      <b val="1"/>
      <color rgb="FFFFFFFF"/>
      <sz val="11"/>
    </font>
    <font>
      <name val="Arial"/>
      <color rgb="FF0000FF"/>
      <sz val="10"/>
    </font>
    <font>
      <name val="Arial"/>
      <b val="1"/>
      <color rgb="FF1F4E79"/>
      <sz val="12"/>
    </font>
    <font>
      <name val="Arial"/>
      <sz val="10"/>
    </font>
    <font>
      <name val="Arial"/>
      <color rgb="FF0000FF"/>
      <sz val="10"/>
    </font>
    <font>
      <name val="Arial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5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2" pivotButton="0" quotePrefix="0" xfId="0"/>
    <xf numFmtId="0" fontId="0" fillId="0" borderId="2" pivotButton="0" quotePrefix="0" xfId="0"/>
    <xf numFmtId="164" fontId="5" fillId="0" borderId="2" pivotButton="0" quotePrefix="0" xfId="0"/>
    <xf numFmtId="167" fontId="5" fillId="0" borderId="2" pivotButton="0" quotePrefix="0" xfId="0"/>
    <xf numFmtId="165" fontId="5" fillId="0" borderId="2" pivotButton="0" quotePrefix="0" xfId="0"/>
    <xf numFmtId="0" fontId="6" fillId="0" borderId="0" pivotButton="0" quotePrefix="0" xfId="0"/>
    <xf numFmtId="168" fontId="3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1" fillId="3" borderId="3" applyAlignment="1" pivotButton="0" quotePrefix="0" xfId="0">
      <alignment horizontal="center" vertical="center"/>
    </xf>
    <xf numFmtId="0" fontId="14" fillId="0" borderId="3" pivotButton="0" quotePrefix="0" xfId="0"/>
    <xf numFmtId="167" fontId="14" fillId="0" borderId="3" pivotButton="0" quotePrefix="0" xfId="0"/>
    <xf numFmtId="165" fontId="14" fillId="0" borderId="3" pivotButton="0" quotePrefix="0" xfId="0"/>
    <xf numFmtId="0" fontId="12" fillId="0" borderId="3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164" fontId="16" fillId="0" borderId="4" applyAlignment="1" pivotButton="0" quotePrefix="0" xfId="0">
      <alignment horizontal="center" vertical="center"/>
    </xf>
    <xf numFmtId="165" fontId="16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166" fontId="15" fillId="0" borderId="4" applyAlignment="1" pivotButton="0" quotePrefix="0" xfId="0">
      <alignment horizontal="center" vertical="center"/>
    </xf>
    <xf numFmtId="164" fontId="15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 sz="2400"/>
              <a:t>Portfolio by Position Type</a:t>
            </a:r>
          </a:p>
        </rich>
      </tx>
      <layout>
        <manualLayout>
          <xMode val="edge"/>
          <yMode val="edge"/>
          <wMode val="factor"/>
          <hMode val="factor"/>
          <x val="0.02070271874271335"/>
          <y val="0.007363184281514827"/>
        </manualLayout>
      </layout>
      <overlay val="1"/>
    </title>
    <plotArea>
      <layout/>
      <pieChart>
        <varyColors val="1"/>
        <ser>
          <idx val="0"/>
          <order val="0"/>
          <tx>
            <strRef>
              <f>Dashboard!$B$14</f>
              <strCache>
                <ptCount val="1"/>
                <pt idx="0">
                  <v>Market Value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FFC000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1"/>
            <showBubbleSize val="1"/>
            <showLeaderLines val="1"/>
          </dLbls>
          <cat>
            <strRef>
              <f>Dashboard!$A$15:$A$18</f>
              <strCache>
                <ptCount val="4"/>
                <pt idx="0">
                  <v>Crypto</v>
                </pt>
                <pt idx="1">
                  <v>Stock</v>
                </pt>
                <pt idx="2">
                  <v>ETF</v>
                </pt>
                <pt idx="3">
                  <v>Options</v>
                </pt>
              </strCache>
            </strRef>
          </cat>
          <val>
            <numRef>
              <f>Dashboard!$B$15:$B$18</f>
              <numCache>
                <formatCode>\$#,##0.00</formatCode>
                <ptCount val="4"/>
                <pt idx="0">
                  <v>348.33889612</v>
                </pt>
                <pt idx="1">
                  <v>369.9768</v>
                </pt>
                <pt idx="2">
                  <v>123.04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1"/>
          <showLeaderLines val="1"/>
        </dLbls>
        <firstSliceAng val="0"/>
      </pieChart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 sz="2000"/>
              <a:t>Portfolio by Industry</a:t>
            </a:r>
          </a:p>
        </rich>
      </tx>
      <layout>
        <manualLayout>
          <xMode val="edge"/>
          <yMode val="edge"/>
          <wMode val="factor"/>
          <hMode val="factor"/>
          <x val="0.00888490157810962"/>
          <y val="0.01119221303980947"/>
        </manualLayout>
      </layout>
      <overlay val="1"/>
    </title>
    <plotArea>
      <layout/>
      <pieChart>
        <varyColors val="1"/>
        <ser>
          <idx val="0"/>
          <order val="0"/>
          <tx>
            <strRef>
              <f>Dashboard!$B$29</f>
              <strCache>
                <ptCount val="1"/>
                <pt idx="0">
                  <v>Market Value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FFC00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rgbClr val="FF4B4B"/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rgbClr val="A5A5A5"/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rgbClr val="7030A0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8"/>
            <bubble3D val="0"/>
            <spPr>
              <a:solidFill>
                <a:srgbClr val="00B050"/>
              </a:solidFill>
              <a:ln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showLegendKey val="0"/>
            <showVal val="0"/>
            <showCatName val="1"/>
            <showSerName val="0"/>
            <showPercent val="1"/>
            <showBubbleSize val="1"/>
            <showLeaderLines val="1"/>
          </dLbls>
          <cat>
            <strRef>
              <f>Dashboard!$A$30:$A$38</f>
              <strCache>
                <ptCount val="8"/>
                <pt idx="0">
                  <v>Cryptocurrency</v>
                </pt>
                <pt idx="1">
                  <v>Banking</v>
                </pt>
                <pt idx="2">
                  <v>Semiconductors</v>
                </pt>
                <pt idx="3">
                  <v>Energy</v>
                </pt>
                <pt idx="4">
                  <v>Healthcare</v>
                </pt>
                <pt idx="5">
                  <v>Consumer</v>
                </pt>
                <pt idx="6">
                  <v>Real Estate</v>
                </pt>
                <pt idx="7">
                  <v>Utilities</v>
                </pt>
              </strCache>
            </strRef>
          </cat>
          <val>
            <numRef>
              <f>Dashboard!$B$30:$B$38</f>
              <numCache>
                <formatCode>\$#,##0.00;\(\$#,##0.00\);"-"</formatCode>
                <ptCount val="9"/>
                <pt idx="0">
                  <v>348.33889612</v>
                </pt>
                <pt idx="1">
                  <v>27.4968</v>
                </pt>
                <pt idx="2">
                  <v>342.48</v>
                </pt>
                <pt idx="3">
                  <v>123.04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1"/>
          <showSerName val="0"/>
          <showPercent val="1"/>
          <showBubbleSize val="1"/>
          <showLeaderLines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4987</colOff>
      <row>0</row>
      <rowOff>0</rowOff>
    </from>
    <ext cx="10854613" cy="689918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21</col>
      <colOff>388812</colOff>
      <row>0</row>
      <rowOff>0</rowOff>
    </from>
    <ext cx="11115261" cy="680830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topLeftCell="A4" zoomScale="69" zoomScaleNormal="95" workbookViewId="0">
      <selection activeCell="C42" sqref="C42"/>
    </sheetView>
  </sheetViews>
  <sheetFormatPr baseColWidth="8" defaultRowHeight="14.4"/>
  <cols>
    <col width="20" customWidth="1" style="35" min="1" max="1"/>
    <col width="18" customWidth="1" style="35" min="2" max="2"/>
    <col width="16" customWidth="1" style="35" min="3" max="4"/>
  </cols>
  <sheetData>
    <row r="1" ht="21" customHeight="1" s="35">
      <c r="A1" s="36" t="inlineStr">
        <is>
          <t>Portfolio Dashboard</t>
        </is>
      </c>
    </row>
    <row r="3" ht="15.6" customHeight="1" s="35">
      <c r="A3" s="1" t="inlineStr">
        <is>
          <t>Portfolio Summary</t>
        </is>
      </c>
    </row>
    <row r="4">
      <c r="A4" s="2" t="inlineStr">
        <is>
          <t>Total Portfolio Value</t>
        </is>
      </c>
      <c r="B4" s="3">
        <f>Holdings!H57</f>
        <v/>
      </c>
    </row>
    <row r="5">
      <c r="A5" s="2" t="inlineStr">
        <is>
          <t>Total Unrealized G/L</t>
        </is>
      </c>
      <c r="B5" s="3">
        <f>Holdings!I57</f>
        <v/>
      </c>
    </row>
    <row r="6">
      <c r="A6" s="2" t="inlineStr">
        <is>
          <t>Total Cost Basis</t>
        </is>
      </c>
      <c r="B6" s="3">
        <f>B4-B5</f>
        <v/>
      </c>
    </row>
    <row r="8" ht="15.6" customHeight="1" s="35">
      <c r="A8" s="1" t="inlineStr">
        <is>
          <t>By Account</t>
        </is>
      </c>
    </row>
    <row r="9">
      <c r="A9" s="4" t="inlineStr">
        <is>
          <t>Account</t>
        </is>
      </c>
      <c r="B9" s="4" t="inlineStr">
        <is>
          <t>Market Value</t>
        </is>
      </c>
      <c r="C9" s="4" t="inlineStr">
        <is>
          <t>% of Portfolio</t>
        </is>
      </c>
    </row>
    <row r="10">
      <c r="A10" s="5" t="inlineStr">
        <is>
          <t>Robinhood</t>
        </is>
      </c>
      <c r="B10" s="6">
        <f>SUMPRODUCT((Holdings!A4:A55=A10)*(Holdings!H4:H55))</f>
        <v/>
      </c>
      <c r="C10" s="7">
        <f>IF(B$4=0,0,B10/B$4)</f>
        <v/>
      </c>
    </row>
    <row r="11">
      <c r="A11" s="5" t="inlineStr">
        <is>
          <t>Fidelity</t>
        </is>
      </c>
      <c r="B11" s="6">
        <f>SUMPRODUCT((Holdings!A4:A55=A11)*(Holdings!H4:H55))</f>
        <v/>
      </c>
      <c r="C11" s="7">
        <f>IF(B$4=0,0,B11/B$4)</f>
        <v/>
      </c>
    </row>
    <row r="13" ht="15.6" customHeight="1" s="35">
      <c r="A13" s="1" t="inlineStr">
        <is>
          <t>By Asset Type</t>
        </is>
      </c>
    </row>
    <row r="14">
      <c r="A14" s="4" t="inlineStr">
        <is>
          <t>Asset Type</t>
        </is>
      </c>
      <c r="B14" s="4" t="inlineStr">
        <is>
          <t>Market Value</t>
        </is>
      </c>
      <c r="C14" s="4" t="inlineStr">
        <is>
          <t>% of Portfolio</t>
        </is>
      </c>
    </row>
    <row r="15">
      <c r="A15" s="5" t="inlineStr">
        <is>
          <t>Crypto</t>
        </is>
      </c>
      <c r="B15" s="6">
        <f>SUMPRODUCT((Holdings!B4:B55=A15)*(Holdings!H4:H55))</f>
        <v/>
      </c>
      <c r="C15" s="7">
        <f>IF(B$4=0,0,B15/B$4)</f>
        <v/>
      </c>
    </row>
    <row r="16">
      <c r="A16" s="5" t="inlineStr">
        <is>
          <t>Stock</t>
        </is>
      </c>
      <c r="B16" s="6">
        <f>SUMPRODUCT((Holdings!B4:B55=A16)*(Holdings!H4:H55))</f>
        <v/>
      </c>
      <c r="C16" s="7">
        <f>IF(B$4=0,0,B16/B$4)</f>
        <v/>
      </c>
    </row>
    <row r="17">
      <c r="A17" s="5" t="inlineStr">
        <is>
          <t>ETF</t>
        </is>
      </c>
      <c r="B17" s="6">
        <f>SUMPRODUCT((Holdings!B4:B55=A17)*(Holdings!H4:H55))</f>
        <v/>
      </c>
      <c r="C17" s="7">
        <f>IF(B$4=0,0,B17/B$4)</f>
        <v/>
      </c>
    </row>
    <row r="18">
      <c r="A18" s="5" t="inlineStr">
        <is>
          <t>Options</t>
        </is>
      </c>
      <c r="B18" s="6">
        <f>SUMPRODUCT((Holdings!B4:B55=A18)*(Holdings!H4:H55))</f>
        <v/>
      </c>
      <c r="C18" s="7">
        <f>IF(B$4=0,0,B18/B$4)</f>
        <v/>
      </c>
    </row>
    <row r="20" ht="15.6" customHeight="1" s="35">
      <c r="A20" s="1" t="inlineStr">
        <is>
          <t>How to Use This Workbook</t>
        </is>
      </c>
    </row>
    <row r="21">
      <c r="A21" s="37" t="inlineStr">
        <is>
          <t>1. Add new holdings in the Holdings sheet (blue text = your input)</t>
        </is>
      </c>
    </row>
    <row r="22">
      <c r="A22" s="37" t="inlineStr">
        <is>
          <t>2. Update Current Price column regularly to see latest values</t>
        </is>
      </c>
    </row>
    <row r="23">
      <c r="A23" s="37" t="inlineStr">
        <is>
          <t>3. Log every buy/sell in the Trade Log sheet</t>
        </is>
      </c>
    </row>
    <row r="24">
      <c r="A24" s="37" t="inlineStr">
        <is>
          <t>4. Dashboard formulas update automatically</t>
        </is>
      </c>
    </row>
    <row r="25">
      <c r="A25" s="37" t="inlineStr">
        <is>
          <t>5. Account: Robinhood or Fidelity | Asset Type: Crypto, Stock, ETF, or Options</t>
        </is>
      </c>
    </row>
    <row r="28" ht="15.6" customHeight="1" s="35">
      <c r="A28" s="21" t="inlineStr">
        <is>
          <t>By Industry</t>
        </is>
      </c>
    </row>
    <row r="29">
      <c r="A29" s="22" t="inlineStr">
        <is>
          <t>Industry</t>
        </is>
      </c>
      <c r="B29" s="22" t="inlineStr">
        <is>
          <t>Market Value</t>
        </is>
      </c>
      <c r="C29" s="22" t="inlineStr">
        <is>
          <t>% of Portfolio</t>
        </is>
      </c>
    </row>
    <row r="30">
      <c r="A30" s="23" t="inlineStr">
        <is>
          <t>Cryptocurrency</t>
        </is>
      </c>
      <c r="B30" s="24">
        <f>SUMPRODUCT((Holdings!L4:L55=A30)*(Holdings!H4:H55))</f>
        <v/>
      </c>
      <c r="C30" s="25">
        <f>IF(B$4=0,0,B30/B$4)</f>
        <v/>
      </c>
    </row>
    <row r="31">
      <c r="A31" s="23" t="inlineStr">
        <is>
          <t>Banking</t>
        </is>
      </c>
      <c r="B31" s="24">
        <f>SUMPRODUCT((Holdings!L4:L55=A31)*(Holdings!H4:H55))</f>
        <v/>
      </c>
      <c r="C31" s="25">
        <f>IF(B$4=0,0,B31/B$4)</f>
        <v/>
      </c>
    </row>
    <row r="32">
      <c r="A32" s="23" t="inlineStr">
        <is>
          <t>Semiconductors</t>
        </is>
      </c>
      <c r="B32" s="24">
        <f>SUMPRODUCT((Holdings!L4:L55=A32)*(Holdings!H4:H55))</f>
        <v/>
      </c>
      <c r="C32" s="25">
        <f>IF(B$4=0,0,B32/B$4)</f>
        <v/>
      </c>
    </row>
    <row r="33">
      <c r="A33" s="23" t="inlineStr">
        <is>
          <t>Energy</t>
        </is>
      </c>
      <c r="B33" s="24">
        <f>SUMPRODUCT((Holdings!L4:L55=A33)*(Holdings!H4:H55))</f>
        <v/>
      </c>
      <c r="C33" s="25">
        <f>IF(B$4=0,0,B33/B$4)</f>
        <v/>
      </c>
    </row>
    <row r="34">
      <c r="A34" s="23" t="inlineStr">
        <is>
          <t>Healthcare</t>
        </is>
      </c>
      <c r="B34" s="24">
        <f>SUMPRODUCT((Holdings!L4:L55=A34)*(Holdings!H4:H55))</f>
        <v/>
      </c>
      <c r="C34" s="25">
        <f>IF(B$4=0,0,B34/B$4)</f>
        <v/>
      </c>
    </row>
    <row r="35">
      <c r="A35" s="23" t="inlineStr">
        <is>
          <t>Consumer</t>
        </is>
      </c>
      <c r="B35" s="24">
        <f>SUMPRODUCT((Holdings!L4:L55=A35)*(Holdings!H4:H55))</f>
        <v/>
      </c>
      <c r="C35" s="25">
        <f>IF(B$4=0,0,B35/B$4)</f>
        <v/>
      </c>
    </row>
    <row r="36">
      <c r="A36" s="23" t="inlineStr">
        <is>
          <t>Real Estate</t>
        </is>
      </c>
      <c r="B36" s="24">
        <f>SUMPRODUCT((Holdings!L4:L55=A36)*(Holdings!H4:H55))</f>
        <v/>
      </c>
      <c r="C36" s="25">
        <f>IF(B$4=0,0,B36/B$4)</f>
        <v/>
      </c>
    </row>
    <row r="37">
      <c r="A37" s="23" t="inlineStr">
        <is>
          <t>Utilities</t>
        </is>
      </c>
      <c r="B37" s="24">
        <f>SUMPRODUCT((Holdings!L4:L55=A37)*(Holdings!H4:H55))</f>
        <v/>
      </c>
      <c r="C37" s="25">
        <f>IF(B$4=0,0,B37/B$4)</f>
        <v/>
      </c>
    </row>
    <row r="38">
      <c r="A38" s="27" t="n"/>
      <c r="B38" s="28" t="n"/>
      <c r="C38" s="29" t="n"/>
    </row>
  </sheetData>
  <mergeCells count="6">
    <mergeCell ref="A1:D1"/>
    <mergeCell ref="A23:D23"/>
    <mergeCell ref="A22:D22"/>
    <mergeCell ref="A21:D21"/>
    <mergeCell ref="A25:D25"/>
    <mergeCell ref="A24:D2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1:L57"/>
  <sheetViews>
    <sheetView tabSelected="1" zoomScale="85" workbookViewId="0">
      <selection activeCell="K13" sqref="K13"/>
    </sheetView>
  </sheetViews>
  <sheetFormatPr baseColWidth="8" defaultRowHeight="14.4"/>
  <cols>
    <col width="18" customWidth="1" style="35" min="1" max="1"/>
    <col width="12" customWidth="1" style="35" min="2" max="2"/>
    <col width="10" customWidth="1" style="35" min="3" max="3"/>
    <col width="20.5546875" customWidth="1" style="35" min="4" max="4"/>
    <col width="16" customWidth="1" style="35" min="5" max="5"/>
    <col width="14" customWidth="1" style="35" min="6" max="9"/>
    <col width="10" customWidth="1" style="35" min="10" max="10"/>
    <col width="12" customWidth="1" style="35" min="11" max="11"/>
    <col width="16" customWidth="1" style="35" min="12" max="12"/>
  </cols>
  <sheetData>
    <row r="1" ht="17.4" customHeight="1" s="35">
      <c r="A1" s="34" t="inlineStr">
        <is>
          <t>Portfolio Holdings</t>
        </is>
      </c>
    </row>
    <row r="3">
      <c r="A3" s="4" t="inlineStr">
        <is>
          <t>Account</t>
        </is>
      </c>
      <c r="B3" s="4" t="inlineStr">
        <is>
          <t>Asset Type</t>
        </is>
      </c>
      <c r="C3" s="4" t="inlineStr">
        <is>
          <t>Ticker</t>
        </is>
      </c>
      <c r="D3" s="4" t="inlineStr">
        <is>
          <t>Name</t>
        </is>
      </c>
      <c r="E3" s="4" t="inlineStr">
        <is>
          <t>Quantity</t>
        </is>
      </c>
      <c r="F3" s="4" t="inlineStr">
        <is>
          <t>Avg Cost</t>
        </is>
      </c>
      <c r="G3" s="4" t="inlineStr">
        <is>
          <t>Current Price</t>
        </is>
      </c>
      <c r="H3" s="4" t="inlineStr">
        <is>
          <t>Market Value</t>
        </is>
      </c>
      <c r="I3" s="4" t="inlineStr">
        <is>
          <t>Unrealized G/L</t>
        </is>
      </c>
      <c r="J3" s="4" t="inlineStr">
        <is>
          <t>G/L %</t>
        </is>
      </c>
      <c r="K3" s="4" t="inlineStr">
        <is>
          <t>Allocation %</t>
        </is>
      </c>
      <c r="L3" s="22" t="inlineStr">
        <is>
          <t>Industry</t>
        </is>
      </c>
    </row>
    <row r="4">
      <c r="A4" s="8" t="inlineStr">
        <is>
          <t>Robinhood</t>
        </is>
      </c>
      <c r="B4" s="8" t="inlineStr">
        <is>
          <t>Crypto</t>
        </is>
      </c>
      <c r="C4" s="8" t="inlineStr">
        <is>
          <t>ETH</t>
        </is>
      </c>
      <c r="D4" s="8" t="inlineStr">
        <is>
          <t>Ethereum</t>
        </is>
      </c>
      <c r="E4" s="9" t="n">
        <v>0.054683</v>
      </c>
      <c r="F4" s="10" t="n">
        <v>2079.33</v>
      </c>
      <c r="G4" s="10" t="n">
        <v>2062.21</v>
      </c>
      <c r="H4" s="11">
        <f>E4*G4</f>
        <v/>
      </c>
      <c r="I4" s="12">
        <f>(G4-F4)*E4</f>
        <v/>
      </c>
      <c r="J4" s="13">
        <f>IF(F4=0,0,(G4-F4)/F4)</f>
        <v/>
      </c>
      <c r="K4" s="13">
        <f>IF(H4=0,0,IF(H$57=0,0,H4/H$57))</f>
        <v/>
      </c>
      <c r="L4" s="26" t="inlineStr">
        <is>
          <t>Cryptocurrency</t>
        </is>
      </c>
    </row>
    <row r="5">
      <c r="A5" s="8" t="inlineStr">
        <is>
          <t>Robinhood</t>
        </is>
      </c>
      <c r="B5" s="8" t="inlineStr">
        <is>
          <t>Crypto</t>
        </is>
      </c>
      <c r="C5" s="8" t="inlineStr">
        <is>
          <t>BTC</t>
        </is>
      </c>
      <c r="D5" s="8" t="inlineStr">
        <is>
          <t>Bitcoin</t>
        </is>
      </c>
      <c r="E5" s="9" t="n">
        <v>0.002148</v>
      </c>
      <c r="F5" s="10" t="n">
        <v>69645.24000000001</v>
      </c>
      <c r="G5" s="10" t="n">
        <v>68795</v>
      </c>
      <c r="H5" s="11">
        <f>E5*G5</f>
        <v/>
      </c>
      <c r="I5" s="12">
        <f>(G5-F5)*E5</f>
        <v/>
      </c>
      <c r="J5" s="13">
        <f>IF(F5=0,0,(G5-F5)/F5)</f>
        <v/>
      </c>
      <c r="K5" s="13">
        <f>IF(H5=0,0,IF(H$57=0,0,H5/H$57))</f>
        <v/>
      </c>
      <c r="L5" s="26" t="inlineStr">
        <is>
          <t>Cryptocurrency</t>
        </is>
      </c>
    </row>
    <row r="6">
      <c r="A6" s="8" t="inlineStr">
        <is>
          <t>Fidelity</t>
        </is>
      </c>
      <c r="B6" s="8" t="inlineStr">
        <is>
          <t>Stock</t>
        </is>
      </c>
      <c r="C6" s="8" t="inlineStr">
        <is>
          <t>BAC</t>
        </is>
      </c>
      <c r="D6" s="8" t="inlineStr">
        <is>
          <t>Bank of America</t>
        </is>
      </c>
      <c r="E6" s="9" t="n">
        <v>0.57</v>
      </c>
      <c r="F6" s="10" t="n">
        <v>48.11</v>
      </c>
      <c r="G6" s="10" t="n">
        <v>48.24</v>
      </c>
      <c r="H6" s="11">
        <f>IF(E6="",0,E6*G6)</f>
        <v/>
      </c>
      <c r="I6" s="12">
        <f>IF(E6="",0,(G6-F6)*E6)</f>
        <v/>
      </c>
      <c r="J6" s="13">
        <f>IF(E6="",0,IF(F6=0,0,(G6-F6)/F6))</f>
        <v/>
      </c>
      <c r="K6" s="13">
        <f>IF(H6=0,0,IF(H$57=0,0,H6/H$57))</f>
        <v/>
      </c>
      <c r="L6" s="26" t="inlineStr">
        <is>
          <t>Banking</t>
        </is>
      </c>
    </row>
    <row r="7">
      <c r="A7" s="8" t="inlineStr">
        <is>
          <t>Fidelity</t>
        </is>
      </c>
      <c r="B7" s="8" t="inlineStr">
        <is>
          <t>Stock</t>
        </is>
      </c>
      <c r="C7" s="8" t="inlineStr">
        <is>
          <t>NVDA</t>
        </is>
      </c>
      <c r="D7" s="8" t="inlineStr">
        <is>
          <t>NVIDIA</t>
        </is>
      </c>
      <c r="E7" s="9" t="n">
        <v>2</v>
      </c>
      <c r="F7" s="10" t="n">
        <v>174.57</v>
      </c>
      <c r="G7" s="10" t="n">
        <v>171.24</v>
      </c>
      <c r="H7" s="11">
        <f>IF(E7="",0,E7*G7)</f>
        <v/>
      </c>
      <c r="I7" s="12">
        <f>IF(E7="",0,(G7-F7)*E7)</f>
        <v/>
      </c>
      <c r="J7" s="13">
        <f>IF(E7="",0,IF(F7=0,0,(G7-F7)/F7))</f>
        <v/>
      </c>
      <c r="K7" s="13">
        <f>IF(H7=0,0,IF(H$57=0,0,H7/H$57))</f>
        <v/>
      </c>
      <c r="L7" s="26" t="inlineStr">
        <is>
          <t>Semiconductors</t>
        </is>
      </c>
    </row>
    <row r="8">
      <c r="A8" s="8" t="inlineStr">
        <is>
          <t>Fidelity</t>
        </is>
      </c>
      <c r="B8" s="8" t="inlineStr">
        <is>
          <t>ETF</t>
        </is>
      </c>
      <c r="C8" s="8" t="inlineStr">
        <is>
          <t>XLE</t>
        </is>
      </c>
      <c r="D8" s="8" t="inlineStr">
        <is>
          <t>Energy Select Sector</t>
        </is>
      </c>
      <c r="E8" s="9" t="n">
        <v>2</v>
      </c>
      <c r="F8" s="10" t="n">
        <v>61.72</v>
      </c>
      <c r="G8" s="10" t="n">
        <v>61.52</v>
      </c>
      <c r="H8" s="11">
        <f>IF(E8="",0,E8*G8)</f>
        <v/>
      </c>
      <c r="I8" s="12">
        <f>IF(E8="",0,(G8-F8)*E8)</f>
        <v/>
      </c>
      <c r="J8" s="13">
        <f>IF(E8="",0,IF(F8=0,0,(G8-F8)/F8))</f>
        <v/>
      </c>
      <c r="K8" s="13">
        <f>IF(H8=0,0,IF(H$57=0,0,H8/H$57))</f>
        <v/>
      </c>
      <c r="L8" s="26" t="inlineStr">
        <is>
          <t>Energy</t>
        </is>
      </c>
    </row>
    <row r="9">
      <c r="A9" s="8" t="inlineStr">
        <is>
          <t>Robinhood</t>
        </is>
      </c>
      <c r="B9" s="8" t="inlineStr">
        <is>
          <t>Crypto</t>
        </is>
      </c>
      <c r="C9" s="8" t="inlineStr">
        <is>
          <t>SOL</t>
        </is>
      </c>
      <c r="D9" s="8" t="inlineStr">
        <is>
          <t>Solana</t>
        </is>
      </c>
      <c r="E9" s="9" t="n">
        <v>1.0033</v>
      </c>
      <c r="F9" s="10" t="n">
        <v>86.70999999999999</v>
      </c>
      <c r="G9" s="10" t="n">
        <v>86.43000000000001</v>
      </c>
      <c r="H9" s="11">
        <f>IF(E9="",0,E9*G9)</f>
        <v/>
      </c>
      <c r="I9" s="12">
        <f>IF(E9="",0,(G9-F9)*E9)</f>
        <v/>
      </c>
      <c r="J9" s="13">
        <f>IF(E9="",0,IF(F9=0,0,(G9-F9)/F9))</f>
        <v/>
      </c>
      <c r="K9" s="13">
        <f>IF(H9=0,0,IF(H$57=0,0,H9/H$57))</f>
        <v/>
      </c>
      <c r="L9" s="26" t="inlineStr">
        <is>
          <t>Cryptocurrency</t>
        </is>
      </c>
    </row>
    <row r="10">
      <c r="A10" s="33" t="n"/>
      <c r="B10" s="30" t="n"/>
      <c r="C10" s="30" t="n"/>
      <c r="D10" s="30" t="n"/>
      <c r="E10" s="31" t="n"/>
      <c r="F10" s="32" t="n"/>
      <c r="G10" s="32" t="n"/>
      <c r="H10" s="11">
        <f>IF(E10="",0,E10*G10)</f>
        <v/>
      </c>
      <c r="I10" s="12">
        <f>IF(E10="",0,(G10-F10)*E10)</f>
        <v/>
      </c>
      <c r="J10" s="13">
        <f>IF(E10="",0,IF(F10=0,0,(G10-F10)/F10))</f>
        <v/>
      </c>
      <c r="K10" s="13">
        <f>IF(H10=0,0,IF(H$57=0,0,H10/H$57))</f>
        <v/>
      </c>
      <c r="L10" s="30" t="n"/>
    </row>
    <row r="11">
      <c r="A11" s="8" t="n"/>
      <c r="B11" s="8" t="n"/>
      <c r="C11" s="8" t="n"/>
      <c r="D11" s="8" t="n"/>
      <c r="E11" s="9" t="n"/>
      <c r="F11" s="10" t="n"/>
      <c r="G11" s="10" t="n"/>
      <c r="H11" s="11">
        <f>IF(E11="",0,E11*G11)</f>
        <v/>
      </c>
      <c r="I11" s="12">
        <f>IF(E11="",0,(G11-F11)*E11)</f>
        <v/>
      </c>
      <c r="J11" s="13">
        <f>IF(E11="",0,IF(F11=0,0,(G11-F11)/F11))</f>
        <v/>
      </c>
      <c r="K11" s="13">
        <f>IF(H11=0,0,IF(H$57=0,0,H11/H$57))</f>
        <v/>
      </c>
      <c r="L11" s="26" t="n"/>
    </row>
    <row r="12">
      <c r="A12" s="8" t="n"/>
      <c r="B12" s="8" t="n"/>
      <c r="C12" s="8" t="n"/>
      <c r="D12" s="8" t="n"/>
      <c r="E12" s="9" t="n"/>
      <c r="F12" s="10" t="n"/>
      <c r="G12" s="10" t="n"/>
      <c r="H12" s="11">
        <f>IF(E12="",0,E12*G12)</f>
        <v/>
      </c>
      <c r="I12" s="12">
        <f>IF(E12="",0,(G12-F12)*E12)</f>
        <v/>
      </c>
      <c r="J12" s="13">
        <f>IF(E12="",0,IF(F12=0,0,(G12-F12)/F12))</f>
        <v/>
      </c>
      <c r="K12" s="13">
        <f>IF(H12=0,0,IF(H$57=0,0,H12/H$57))</f>
        <v/>
      </c>
      <c r="L12" s="26" t="n"/>
    </row>
    <row r="13">
      <c r="A13" s="8" t="n"/>
      <c r="B13" s="8" t="n"/>
      <c r="C13" s="8" t="n"/>
      <c r="D13" s="8" t="n"/>
      <c r="E13" s="9" t="n"/>
      <c r="F13" s="10" t="n"/>
      <c r="G13" s="10" t="n"/>
      <c r="H13" s="11">
        <f>IF(E13="",0,E13*G13)</f>
        <v/>
      </c>
      <c r="I13" s="12">
        <f>IF(E13="",0,(G13-F13)*E13)</f>
        <v/>
      </c>
      <c r="J13" s="13">
        <f>IF(E13="",0,IF(F13=0,0,(G13-F13)/F13))</f>
        <v/>
      </c>
      <c r="K13" s="13">
        <f>IF(H13=0,0,IF(H$57=0,0,H13/H$57))</f>
        <v/>
      </c>
      <c r="L13" s="26" t="n"/>
    </row>
    <row r="14">
      <c r="A14" s="8" t="n"/>
      <c r="B14" s="8" t="n"/>
      <c r="C14" s="8" t="n"/>
      <c r="D14" s="8" t="n"/>
      <c r="E14" s="9" t="n"/>
      <c r="F14" s="10" t="n"/>
      <c r="G14" s="10" t="n"/>
      <c r="H14" s="11">
        <f>IF(E14="",0,E14*G14)</f>
        <v/>
      </c>
      <c r="I14" s="12">
        <f>IF(E14="",0,(G14-F14)*E14)</f>
        <v/>
      </c>
      <c r="J14" s="13">
        <f>IF(E14="",0,IF(F14=0,0,(G14-F14)/F14))</f>
        <v/>
      </c>
      <c r="K14" s="13">
        <f>IF(H14=0,0,IF(H$57=0,0,H14/H$57))</f>
        <v/>
      </c>
      <c r="L14" s="26" t="n"/>
    </row>
    <row r="15">
      <c r="A15" s="8" t="n"/>
      <c r="B15" s="8" t="n"/>
      <c r="C15" s="8" t="n"/>
      <c r="D15" s="8" t="n"/>
      <c r="E15" s="9" t="n"/>
      <c r="F15" s="10" t="n"/>
      <c r="G15" s="10" t="n"/>
      <c r="H15" s="11">
        <f>IF(E15="",0,E15*G15)</f>
        <v/>
      </c>
      <c r="I15" s="12">
        <f>IF(E15="",0,(G15-F15)*E15)</f>
        <v/>
      </c>
      <c r="J15" s="13">
        <f>IF(E15="",0,IF(F15=0,0,(G15-F15)/F15))</f>
        <v/>
      </c>
      <c r="K15" s="13">
        <f>IF(H15=0,0,IF(H$57=0,0,H15/H$57))</f>
        <v/>
      </c>
      <c r="L15" s="26" t="n"/>
    </row>
    <row r="16">
      <c r="A16" s="8" t="n"/>
      <c r="B16" s="8" t="n"/>
      <c r="C16" s="8" t="n"/>
      <c r="D16" s="8" t="n"/>
      <c r="E16" s="9" t="n"/>
      <c r="F16" s="10" t="n"/>
      <c r="G16" s="10" t="n"/>
      <c r="H16" s="11">
        <f>IF(E16="",0,E16*G16)</f>
        <v/>
      </c>
      <c r="I16" s="12">
        <f>IF(E16="",0,(G16-F16)*E16)</f>
        <v/>
      </c>
      <c r="J16" s="13">
        <f>IF(E16="",0,IF(F16=0,0,(G16-F16)/F16))</f>
        <v/>
      </c>
      <c r="K16" s="13">
        <f>IF(H16=0,0,IF(H$57=0,0,H16/H$57))</f>
        <v/>
      </c>
      <c r="L16" s="26" t="n"/>
    </row>
    <row r="17">
      <c r="A17" s="8" t="n"/>
      <c r="B17" s="8" t="n"/>
      <c r="C17" s="8" t="n"/>
      <c r="D17" s="8" t="n"/>
      <c r="E17" s="9" t="n"/>
      <c r="F17" s="10" t="n"/>
      <c r="G17" s="10" t="n"/>
      <c r="H17" s="11">
        <f>IF(E17="",0,E17*G17)</f>
        <v/>
      </c>
      <c r="I17" s="12">
        <f>IF(E17="",0,(G17-F17)*E17)</f>
        <v/>
      </c>
      <c r="J17" s="13">
        <f>IF(E17="",0,IF(F17=0,0,(G17-F17)/F17))</f>
        <v/>
      </c>
      <c r="K17" s="13">
        <f>IF(H17=0,0,IF(H$57=0,0,H17/H$57))</f>
        <v/>
      </c>
      <c r="L17" s="26" t="n"/>
    </row>
    <row r="18">
      <c r="A18" s="8" t="n"/>
      <c r="B18" s="8" t="n"/>
      <c r="C18" s="8" t="n"/>
      <c r="D18" s="8" t="n"/>
      <c r="E18" s="9" t="n"/>
      <c r="F18" s="10" t="n"/>
      <c r="G18" s="10" t="n"/>
      <c r="H18" s="11">
        <f>IF(E18="",0,E18*G18)</f>
        <v/>
      </c>
      <c r="I18" s="12">
        <f>IF(E18="",0,(G18-F18)*E18)</f>
        <v/>
      </c>
      <c r="J18" s="13">
        <f>IF(E18="",0,IF(F18=0,0,(G18-F18)/F18))</f>
        <v/>
      </c>
      <c r="K18" s="13">
        <f>IF(H18=0,0,IF(H$57=0,0,H18/H$57))</f>
        <v/>
      </c>
      <c r="L18" s="26" t="n"/>
    </row>
    <row r="19">
      <c r="A19" s="8" t="n"/>
      <c r="B19" s="8" t="n"/>
      <c r="C19" s="8" t="n"/>
      <c r="D19" s="8" t="n"/>
      <c r="E19" s="9" t="n"/>
      <c r="F19" s="10" t="n"/>
      <c r="G19" s="10" t="n"/>
      <c r="H19" s="11">
        <f>IF(E19="",0,E19*G19)</f>
        <v/>
      </c>
      <c r="I19" s="12">
        <f>IF(E19="",0,(G19-F19)*E19)</f>
        <v/>
      </c>
      <c r="J19" s="13">
        <f>IF(E19="",0,IF(F19=0,0,(G19-F19)/F19))</f>
        <v/>
      </c>
      <c r="K19" s="13">
        <f>IF(H19=0,0,IF(H$57=0,0,H19/H$57))</f>
        <v/>
      </c>
      <c r="L19" s="26" t="n"/>
    </row>
    <row r="20">
      <c r="A20" s="8" t="n"/>
      <c r="B20" s="8" t="n"/>
      <c r="C20" s="8" t="n"/>
      <c r="D20" s="8" t="n"/>
      <c r="E20" s="9" t="n"/>
      <c r="F20" s="10" t="n"/>
      <c r="G20" s="10" t="n"/>
      <c r="H20" s="11">
        <f>IF(E20="",0,E20*G20)</f>
        <v/>
      </c>
      <c r="I20" s="12">
        <f>IF(E20="",0,(G20-F20)*E20)</f>
        <v/>
      </c>
      <c r="J20" s="13">
        <f>IF(E20="",0,IF(F20=0,0,(G20-F20)/F20))</f>
        <v/>
      </c>
      <c r="K20" s="13">
        <f>IF(H20=0,0,IF(H$57=0,0,H20/H$57))</f>
        <v/>
      </c>
      <c r="L20" s="26" t="n"/>
    </row>
    <row r="21">
      <c r="A21" s="8" t="n"/>
      <c r="B21" s="8" t="n"/>
      <c r="C21" s="8" t="n"/>
      <c r="D21" s="8" t="n"/>
      <c r="E21" s="9" t="n"/>
      <c r="F21" s="10" t="n"/>
      <c r="G21" s="10" t="n"/>
      <c r="H21" s="11">
        <f>IF(E21="",0,E21*G21)</f>
        <v/>
      </c>
      <c r="I21" s="12">
        <f>IF(E21="",0,(G21-F21)*E21)</f>
        <v/>
      </c>
      <c r="J21" s="13">
        <f>IF(E21="",0,IF(F21=0,0,(G21-F21)/F21))</f>
        <v/>
      </c>
      <c r="K21" s="13">
        <f>IF(H21=0,0,IF(H$57=0,0,H21/H$57))</f>
        <v/>
      </c>
      <c r="L21" s="26" t="n"/>
    </row>
    <row r="22">
      <c r="A22" s="8" t="n"/>
      <c r="B22" s="8" t="n"/>
      <c r="C22" s="8" t="n"/>
      <c r="D22" s="8" t="n"/>
      <c r="E22" s="9" t="n"/>
      <c r="F22" s="10" t="n"/>
      <c r="G22" s="10" t="n"/>
      <c r="H22" s="11">
        <f>IF(E22="",0,E22*G22)</f>
        <v/>
      </c>
      <c r="I22" s="12">
        <f>IF(E22="",0,(G22-F22)*E22)</f>
        <v/>
      </c>
      <c r="J22" s="13">
        <f>IF(E22="",0,IF(F22=0,0,(G22-F22)/F22))</f>
        <v/>
      </c>
      <c r="K22" s="13">
        <f>IF(H22=0,0,IF(H$57=0,0,H22/H$57))</f>
        <v/>
      </c>
      <c r="L22" s="26" t="n"/>
    </row>
    <row r="23">
      <c r="A23" s="8" t="n"/>
      <c r="B23" s="8" t="n"/>
      <c r="C23" s="8" t="n"/>
      <c r="D23" s="8" t="n"/>
      <c r="E23" s="9" t="n"/>
      <c r="F23" s="10" t="n"/>
      <c r="G23" s="10" t="n"/>
      <c r="H23" s="11">
        <f>IF(E23="",0,E23*G23)</f>
        <v/>
      </c>
      <c r="I23" s="12">
        <f>IF(E23="",0,(G23-F23)*E23)</f>
        <v/>
      </c>
      <c r="J23" s="13">
        <f>IF(E23="",0,IF(F23=0,0,(G23-F23)/F23))</f>
        <v/>
      </c>
      <c r="K23" s="13">
        <f>IF(H23=0,0,IF(H$57=0,0,H23/H$57))</f>
        <v/>
      </c>
      <c r="L23" s="26" t="n"/>
    </row>
    <row r="24">
      <c r="A24" s="8" t="n"/>
      <c r="B24" s="8" t="n"/>
      <c r="C24" s="8" t="n"/>
      <c r="D24" s="8" t="n"/>
      <c r="E24" s="9" t="n"/>
      <c r="F24" s="10" t="n"/>
      <c r="G24" s="10" t="n"/>
      <c r="H24" s="11">
        <f>IF(E24="",0,E24*G24)</f>
        <v/>
      </c>
      <c r="I24" s="12">
        <f>IF(E24="",0,(G24-F24)*E24)</f>
        <v/>
      </c>
      <c r="J24" s="13">
        <f>IF(E24="",0,IF(F24=0,0,(G24-F24)/F24))</f>
        <v/>
      </c>
      <c r="K24" s="13">
        <f>IF(H24=0,0,IF(H$57=0,0,H24/H$57))</f>
        <v/>
      </c>
      <c r="L24" s="26" t="n"/>
    </row>
    <row r="25">
      <c r="A25" s="8" t="n"/>
      <c r="B25" s="8" t="n"/>
      <c r="C25" s="8" t="n"/>
      <c r="D25" s="8" t="n"/>
      <c r="E25" s="9" t="n"/>
      <c r="F25" s="10" t="n"/>
      <c r="G25" s="10" t="n"/>
      <c r="H25" s="11">
        <f>IF(E25="",0,E25*G25)</f>
        <v/>
      </c>
      <c r="I25" s="12">
        <f>IF(E25="",0,(G25-F25)*E25)</f>
        <v/>
      </c>
      <c r="J25" s="13">
        <f>IF(E25="",0,IF(F25=0,0,(G25-F25)/F25))</f>
        <v/>
      </c>
      <c r="K25" s="13">
        <f>IF(H25=0,0,IF(H$57=0,0,H25/H$57))</f>
        <v/>
      </c>
      <c r="L25" s="26" t="n"/>
    </row>
    <row r="26">
      <c r="A26" s="8" t="n"/>
      <c r="B26" s="8" t="n"/>
      <c r="C26" s="8" t="n"/>
      <c r="D26" s="8" t="n"/>
      <c r="E26" s="9" t="n"/>
      <c r="F26" s="10" t="n"/>
      <c r="G26" s="10" t="n"/>
      <c r="H26" s="11">
        <f>IF(E26="",0,E26*G26)</f>
        <v/>
      </c>
      <c r="I26" s="12">
        <f>IF(E26="",0,(G26-F26)*E26)</f>
        <v/>
      </c>
      <c r="J26" s="13">
        <f>IF(E26="",0,IF(F26=0,0,(G26-F26)/F26))</f>
        <v/>
      </c>
      <c r="K26" s="13">
        <f>IF(H26=0,0,IF(H$57=0,0,H26/H$57))</f>
        <v/>
      </c>
      <c r="L26" s="26" t="n"/>
    </row>
    <row r="27">
      <c r="A27" s="8" t="n"/>
      <c r="B27" s="8" t="n"/>
      <c r="C27" s="8" t="n"/>
      <c r="D27" s="8" t="n"/>
      <c r="E27" s="9" t="n"/>
      <c r="F27" s="10" t="n"/>
      <c r="G27" s="10" t="n"/>
      <c r="H27" s="11">
        <f>IF(E27="",0,E27*G27)</f>
        <v/>
      </c>
      <c r="I27" s="12">
        <f>IF(E27="",0,(G27-F27)*E27)</f>
        <v/>
      </c>
      <c r="J27" s="13">
        <f>IF(E27="",0,IF(F27=0,0,(G27-F27)/F27))</f>
        <v/>
      </c>
      <c r="K27" s="13">
        <f>IF(H27=0,0,IF(H$57=0,0,H27/H$57))</f>
        <v/>
      </c>
      <c r="L27" s="26" t="n"/>
    </row>
    <row r="28">
      <c r="A28" s="8" t="n"/>
      <c r="B28" s="8" t="n"/>
      <c r="C28" s="8" t="n"/>
      <c r="D28" s="8" t="n"/>
      <c r="E28" s="9" t="n"/>
      <c r="F28" s="10" t="n"/>
      <c r="G28" s="10" t="n"/>
      <c r="H28" s="11">
        <f>IF(E28="",0,E28*G28)</f>
        <v/>
      </c>
      <c r="I28" s="12">
        <f>IF(E28="",0,(G28-F28)*E28)</f>
        <v/>
      </c>
      <c r="J28" s="13">
        <f>IF(E28="",0,IF(F28=0,0,(G28-F28)/F28))</f>
        <v/>
      </c>
      <c r="K28" s="13">
        <f>IF(H28=0,0,IF(H$57=0,0,H28/H$57))</f>
        <v/>
      </c>
      <c r="L28" s="26" t="n"/>
    </row>
    <row r="29">
      <c r="A29" s="8" t="n"/>
      <c r="B29" s="8" t="n"/>
      <c r="C29" s="8" t="n"/>
      <c r="D29" s="8" t="n"/>
      <c r="E29" s="9" t="n"/>
      <c r="F29" s="10" t="n"/>
      <c r="G29" s="10" t="n"/>
      <c r="H29" s="11">
        <f>IF(E29="",0,E29*G29)</f>
        <v/>
      </c>
      <c r="I29" s="12">
        <f>IF(E29="",0,(G29-F29)*E29)</f>
        <v/>
      </c>
      <c r="J29" s="13">
        <f>IF(E29="",0,IF(F29=0,0,(G29-F29)/F29))</f>
        <v/>
      </c>
      <c r="K29" s="13">
        <f>IF(H29=0,0,IF(H$57=0,0,H29/H$57))</f>
        <v/>
      </c>
      <c r="L29" s="26" t="n"/>
    </row>
    <row r="30">
      <c r="A30" s="8" t="n"/>
      <c r="B30" s="8" t="n"/>
      <c r="C30" s="8" t="n"/>
      <c r="D30" s="8" t="n"/>
      <c r="E30" s="9" t="n"/>
      <c r="F30" s="10" t="n"/>
      <c r="G30" s="10" t="n"/>
      <c r="H30" s="11">
        <f>IF(E30="",0,E30*G30)</f>
        <v/>
      </c>
      <c r="I30" s="12">
        <f>IF(E30="",0,(G30-F30)*E30)</f>
        <v/>
      </c>
      <c r="J30" s="13">
        <f>IF(E30="",0,IF(F30=0,0,(G30-F30)/F30))</f>
        <v/>
      </c>
      <c r="K30" s="13">
        <f>IF(H30=0,0,IF(H$57=0,0,H30/H$57))</f>
        <v/>
      </c>
      <c r="L30" s="26" t="n"/>
    </row>
    <row r="31">
      <c r="A31" s="8" t="n"/>
      <c r="B31" s="8" t="n"/>
      <c r="C31" s="8" t="n"/>
      <c r="D31" s="8" t="n"/>
      <c r="E31" s="9" t="n"/>
      <c r="F31" s="10" t="n"/>
      <c r="G31" s="10" t="n"/>
      <c r="H31" s="11">
        <f>IF(E31="",0,E31*G31)</f>
        <v/>
      </c>
      <c r="I31" s="12">
        <f>IF(E31="",0,(G31-F31)*E31)</f>
        <v/>
      </c>
      <c r="J31" s="13">
        <f>IF(E31="",0,IF(F31=0,0,(G31-F31)/F31))</f>
        <v/>
      </c>
      <c r="K31" s="13">
        <f>IF(H31=0,0,IF(H$57=0,0,H31/H$57))</f>
        <v/>
      </c>
      <c r="L31" s="26" t="n"/>
    </row>
    <row r="32">
      <c r="A32" s="8" t="n"/>
      <c r="B32" s="8" t="n"/>
      <c r="C32" s="8" t="n"/>
      <c r="D32" s="8" t="n"/>
      <c r="E32" s="9" t="n"/>
      <c r="F32" s="10" t="n"/>
      <c r="G32" s="10" t="n"/>
      <c r="H32" s="11">
        <f>IF(E32="",0,E32*G32)</f>
        <v/>
      </c>
      <c r="I32" s="12">
        <f>IF(E32="",0,(G32-F32)*E32)</f>
        <v/>
      </c>
      <c r="J32" s="13">
        <f>IF(E32="",0,IF(F32=0,0,(G32-F32)/F32))</f>
        <v/>
      </c>
      <c r="K32" s="13">
        <f>IF(H32=0,0,IF(H$57=0,0,H32/H$57))</f>
        <v/>
      </c>
      <c r="L32" s="26" t="n"/>
    </row>
    <row r="33">
      <c r="A33" s="8" t="n"/>
      <c r="B33" s="8" t="n"/>
      <c r="C33" s="8" t="n"/>
      <c r="D33" s="8" t="n"/>
      <c r="E33" s="9" t="n"/>
      <c r="F33" s="10" t="n"/>
      <c r="G33" s="10" t="n"/>
      <c r="H33" s="11">
        <f>IF(E33="",0,E33*G33)</f>
        <v/>
      </c>
      <c r="I33" s="12">
        <f>IF(E33="",0,(G33-F33)*E33)</f>
        <v/>
      </c>
      <c r="J33" s="13">
        <f>IF(E33="",0,IF(F33=0,0,(G33-F33)/F33))</f>
        <v/>
      </c>
      <c r="K33" s="13">
        <f>IF(H33=0,0,IF(H$57=0,0,H33/H$57))</f>
        <v/>
      </c>
      <c r="L33" s="26" t="n"/>
    </row>
    <row r="34">
      <c r="A34" s="8" t="n"/>
      <c r="B34" s="8" t="n"/>
      <c r="C34" s="8" t="n"/>
      <c r="D34" s="8" t="n"/>
      <c r="E34" s="9" t="n"/>
      <c r="F34" s="10" t="n"/>
      <c r="G34" s="10" t="n"/>
      <c r="H34" s="11">
        <f>IF(E34="",0,E34*G34)</f>
        <v/>
      </c>
      <c r="I34" s="12">
        <f>IF(E34="",0,(G34-F34)*E34)</f>
        <v/>
      </c>
      <c r="J34" s="13">
        <f>IF(E34="",0,IF(F34=0,0,(G34-F34)/F34))</f>
        <v/>
      </c>
      <c r="K34" s="13">
        <f>IF(H34=0,0,IF(H$57=0,0,H34/H$57))</f>
        <v/>
      </c>
      <c r="L34" s="26" t="n"/>
    </row>
    <row r="35">
      <c r="A35" s="8" t="n"/>
      <c r="B35" s="8" t="n"/>
      <c r="C35" s="8" t="n"/>
      <c r="D35" s="8" t="n"/>
      <c r="E35" s="9" t="n"/>
      <c r="F35" s="10" t="n"/>
      <c r="G35" s="10" t="n"/>
      <c r="H35" s="11">
        <f>IF(E35="",0,E35*G35)</f>
        <v/>
      </c>
      <c r="I35" s="12">
        <f>IF(E35="",0,(G35-F35)*E35)</f>
        <v/>
      </c>
      <c r="J35" s="13">
        <f>IF(E35="",0,IF(F35=0,0,(G35-F35)/F35))</f>
        <v/>
      </c>
      <c r="K35" s="13">
        <f>IF(H35=0,0,IF(H$57=0,0,H35/H$57))</f>
        <v/>
      </c>
      <c r="L35" s="26" t="n"/>
    </row>
    <row r="36">
      <c r="A36" s="8" t="n"/>
      <c r="B36" s="8" t="n"/>
      <c r="C36" s="8" t="n"/>
      <c r="D36" s="8" t="n"/>
      <c r="E36" s="9" t="n"/>
      <c r="F36" s="10" t="n"/>
      <c r="G36" s="10" t="n"/>
      <c r="H36" s="11">
        <f>IF(E36="",0,E36*G36)</f>
        <v/>
      </c>
      <c r="I36" s="12">
        <f>IF(E36="",0,(G36-F36)*E36)</f>
        <v/>
      </c>
      <c r="J36" s="13">
        <f>IF(E36="",0,IF(F36=0,0,(G36-F36)/F36))</f>
        <v/>
      </c>
      <c r="K36" s="13">
        <f>IF(H36=0,0,IF(H$57=0,0,H36/H$57))</f>
        <v/>
      </c>
      <c r="L36" s="26" t="n"/>
    </row>
    <row r="37">
      <c r="A37" s="8" t="n"/>
      <c r="B37" s="8" t="n"/>
      <c r="C37" s="8" t="n"/>
      <c r="D37" s="8" t="n"/>
      <c r="E37" s="9" t="n"/>
      <c r="F37" s="10" t="n"/>
      <c r="G37" s="10" t="n"/>
      <c r="H37" s="11">
        <f>IF(E37="",0,E37*G37)</f>
        <v/>
      </c>
      <c r="I37" s="12">
        <f>IF(E37="",0,(G37-F37)*E37)</f>
        <v/>
      </c>
      <c r="J37" s="13">
        <f>IF(E37="",0,IF(F37=0,0,(G37-F37)/F37))</f>
        <v/>
      </c>
      <c r="K37" s="13">
        <f>IF(H37=0,0,IF(H$57=0,0,H37/H$57))</f>
        <v/>
      </c>
      <c r="L37" s="26" t="n"/>
    </row>
    <row r="38">
      <c r="A38" s="8" t="n"/>
      <c r="B38" s="8" t="n"/>
      <c r="C38" s="8" t="n"/>
      <c r="D38" s="8" t="n"/>
      <c r="E38" s="9" t="n"/>
      <c r="F38" s="10" t="n"/>
      <c r="G38" s="10" t="n"/>
      <c r="H38" s="11">
        <f>IF(E38="",0,E38*G38)</f>
        <v/>
      </c>
      <c r="I38" s="12">
        <f>IF(E38="",0,(G38-F38)*E38)</f>
        <v/>
      </c>
      <c r="J38" s="13">
        <f>IF(E38="",0,IF(F38=0,0,(G38-F38)/F38))</f>
        <v/>
      </c>
      <c r="K38" s="13">
        <f>IF(H38=0,0,IF(H$57=0,0,H38/H$57))</f>
        <v/>
      </c>
      <c r="L38" s="26" t="n"/>
    </row>
    <row r="39">
      <c r="A39" s="8" t="n"/>
      <c r="B39" s="8" t="n"/>
      <c r="C39" s="8" t="n"/>
      <c r="D39" s="8" t="n"/>
      <c r="E39" s="9" t="n"/>
      <c r="F39" s="10" t="n"/>
      <c r="G39" s="10" t="n"/>
      <c r="H39" s="11">
        <f>IF(E39="",0,E39*G39)</f>
        <v/>
      </c>
      <c r="I39" s="12">
        <f>IF(E39="",0,(G39-F39)*E39)</f>
        <v/>
      </c>
      <c r="J39" s="13">
        <f>IF(E39="",0,IF(F39=0,0,(G39-F39)/F39))</f>
        <v/>
      </c>
      <c r="K39" s="13">
        <f>IF(H39=0,0,IF(H$57=0,0,H39/H$57))</f>
        <v/>
      </c>
      <c r="L39" s="26" t="n"/>
    </row>
    <row r="40">
      <c r="A40" s="8" t="n"/>
      <c r="B40" s="8" t="n"/>
      <c r="C40" s="8" t="n"/>
      <c r="D40" s="8" t="n"/>
      <c r="E40" s="9" t="n"/>
      <c r="F40" s="10" t="n"/>
      <c r="G40" s="10" t="n"/>
      <c r="H40" s="11">
        <f>IF(E40="",0,E40*G40)</f>
        <v/>
      </c>
      <c r="I40" s="12">
        <f>IF(E40="",0,(G40-F40)*E40)</f>
        <v/>
      </c>
      <c r="J40" s="13">
        <f>IF(E40="",0,IF(F40=0,0,(G40-F40)/F40))</f>
        <v/>
      </c>
      <c r="K40" s="13">
        <f>IF(H40=0,0,IF(H$57=0,0,H40/H$57))</f>
        <v/>
      </c>
      <c r="L40" s="26" t="n"/>
    </row>
    <row r="41">
      <c r="A41" s="8" t="n"/>
      <c r="B41" s="8" t="n"/>
      <c r="C41" s="8" t="n"/>
      <c r="D41" s="8" t="n"/>
      <c r="E41" s="9" t="n"/>
      <c r="F41" s="10" t="n"/>
      <c r="G41" s="10" t="n"/>
      <c r="H41" s="11">
        <f>IF(E41="",0,E41*G41)</f>
        <v/>
      </c>
      <c r="I41" s="12">
        <f>IF(E41="",0,(G41-F41)*E41)</f>
        <v/>
      </c>
      <c r="J41" s="13">
        <f>IF(E41="",0,IF(F41=0,0,(G41-F41)/F41))</f>
        <v/>
      </c>
      <c r="K41" s="13">
        <f>IF(H41=0,0,IF(H$57=0,0,H41/H$57))</f>
        <v/>
      </c>
      <c r="L41" s="26" t="n"/>
    </row>
    <row r="42">
      <c r="A42" s="8" t="n"/>
      <c r="B42" s="8" t="n"/>
      <c r="C42" s="8" t="n"/>
      <c r="D42" s="8" t="n"/>
      <c r="E42" s="9" t="n"/>
      <c r="F42" s="10" t="n"/>
      <c r="G42" s="10" t="n"/>
      <c r="H42" s="11">
        <f>IF(E42="",0,E42*G42)</f>
        <v/>
      </c>
      <c r="I42" s="12">
        <f>IF(E42="",0,(G42-F42)*E42)</f>
        <v/>
      </c>
      <c r="J42" s="13">
        <f>IF(E42="",0,IF(F42=0,0,(G42-F42)/F42))</f>
        <v/>
      </c>
      <c r="K42" s="13">
        <f>IF(H42=0,0,IF(H$57=0,0,H42/H$57))</f>
        <v/>
      </c>
      <c r="L42" s="26" t="n"/>
    </row>
    <row r="43">
      <c r="A43" s="8" t="n"/>
      <c r="B43" s="8" t="n"/>
      <c r="C43" s="8" t="n"/>
      <c r="D43" s="8" t="n"/>
      <c r="E43" s="9" t="n"/>
      <c r="F43" s="10" t="n"/>
      <c r="G43" s="10" t="n"/>
      <c r="H43" s="11">
        <f>IF(E43="",0,E43*G43)</f>
        <v/>
      </c>
      <c r="I43" s="12">
        <f>IF(E43="",0,(G43-F43)*E43)</f>
        <v/>
      </c>
      <c r="J43" s="13">
        <f>IF(E43="",0,IF(F43=0,0,(G43-F43)/F43))</f>
        <v/>
      </c>
      <c r="K43" s="13">
        <f>IF(H43=0,0,IF(H$57=0,0,H43/H$57))</f>
        <v/>
      </c>
      <c r="L43" s="26" t="n"/>
    </row>
    <row r="44">
      <c r="A44" s="8" t="n"/>
      <c r="B44" s="8" t="n"/>
      <c r="C44" s="8" t="n"/>
      <c r="D44" s="8" t="n"/>
      <c r="E44" s="9" t="n"/>
      <c r="F44" s="10" t="n"/>
      <c r="G44" s="10" t="n"/>
      <c r="H44" s="11">
        <f>IF(E44="",0,E44*G44)</f>
        <v/>
      </c>
      <c r="I44" s="12">
        <f>IF(E44="",0,(G44-F44)*E44)</f>
        <v/>
      </c>
      <c r="J44" s="13">
        <f>IF(E44="",0,IF(F44=0,0,(G44-F44)/F44))</f>
        <v/>
      </c>
      <c r="K44" s="13">
        <f>IF(H44=0,0,IF(H$57=0,0,H44/H$57))</f>
        <v/>
      </c>
      <c r="L44" s="26" t="n"/>
    </row>
    <row r="45">
      <c r="A45" s="8" t="n"/>
      <c r="B45" s="8" t="n"/>
      <c r="C45" s="8" t="n"/>
      <c r="D45" s="8" t="n"/>
      <c r="E45" s="9" t="n"/>
      <c r="F45" s="10" t="n"/>
      <c r="G45" s="10" t="n"/>
      <c r="H45" s="11">
        <f>IF(E45="",0,E45*G45)</f>
        <v/>
      </c>
      <c r="I45" s="12">
        <f>IF(E45="",0,(G45-F45)*E45)</f>
        <v/>
      </c>
      <c r="J45" s="13">
        <f>IF(E45="",0,IF(F45=0,0,(G45-F45)/F45))</f>
        <v/>
      </c>
      <c r="K45" s="13">
        <f>IF(H45=0,0,IF(H$57=0,0,H45/H$57))</f>
        <v/>
      </c>
      <c r="L45" s="26" t="n"/>
    </row>
    <row r="46">
      <c r="A46" s="8" t="n"/>
      <c r="B46" s="8" t="n"/>
      <c r="C46" s="8" t="n"/>
      <c r="D46" s="8" t="n"/>
      <c r="E46" s="9" t="n"/>
      <c r="F46" s="10" t="n"/>
      <c r="G46" s="10" t="n"/>
      <c r="H46" s="11">
        <f>IF(E46="",0,E46*G46)</f>
        <v/>
      </c>
      <c r="I46" s="12">
        <f>IF(E46="",0,(G46-F46)*E46)</f>
        <v/>
      </c>
      <c r="J46" s="13">
        <f>IF(E46="",0,IF(F46=0,0,(G46-F46)/F46))</f>
        <v/>
      </c>
      <c r="K46" s="13">
        <f>IF(H46=0,0,IF(H$57=0,0,H46/H$57))</f>
        <v/>
      </c>
      <c r="L46" s="26" t="n"/>
    </row>
    <row r="47">
      <c r="A47" s="8" t="n"/>
      <c r="B47" s="8" t="n"/>
      <c r="C47" s="8" t="n"/>
      <c r="D47" s="8" t="n"/>
      <c r="E47" s="9" t="n"/>
      <c r="F47" s="10" t="n"/>
      <c r="G47" s="10" t="n"/>
      <c r="H47" s="11">
        <f>IF(E47="",0,E47*G47)</f>
        <v/>
      </c>
      <c r="I47" s="12">
        <f>IF(E47="",0,(G47-F47)*E47)</f>
        <v/>
      </c>
      <c r="J47" s="13">
        <f>IF(E47="",0,IF(F47=0,0,(G47-F47)/F47))</f>
        <v/>
      </c>
      <c r="K47" s="13">
        <f>IF(H47=0,0,IF(H$57=0,0,H47/H$57))</f>
        <v/>
      </c>
      <c r="L47" s="26" t="n"/>
    </row>
    <row r="48">
      <c r="A48" s="8" t="n"/>
      <c r="B48" s="8" t="n"/>
      <c r="C48" s="8" t="n"/>
      <c r="D48" s="8" t="n"/>
      <c r="E48" s="9" t="n"/>
      <c r="F48" s="10" t="n"/>
      <c r="G48" s="10" t="n"/>
      <c r="H48" s="11">
        <f>IF(E48="",0,E48*G48)</f>
        <v/>
      </c>
      <c r="I48" s="12">
        <f>IF(E48="",0,(G48-F48)*E48)</f>
        <v/>
      </c>
      <c r="J48" s="13">
        <f>IF(E48="",0,IF(F48=0,0,(G48-F48)/F48))</f>
        <v/>
      </c>
      <c r="K48" s="13">
        <f>IF(H48=0,0,IF(H$57=0,0,H48/H$57))</f>
        <v/>
      </c>
      <c r="L48" s="26" t="n"/>
    </row>
    <row r="49">
      <c r="A49" s="8" t="n"/>
      <c r="B49" s="8" t="n"/>
      <c r="C49" s="8" t="n"/>
      <c r="D49" s="8" t="n"/>
      <c r="E49" s="9" t="n"/>
      <c r="F49" s="10" t="n"/>
      <c r="G49" s="10" t="n"/>
      <c r="H49" s="11">
        <f>IF(E49="",0,E49*G49)</f>
        <v/>
      </c>
      <c r="I49" s="12">
        <f>IF(E49="",0,(G49-F49)*E49)</f>
        <v/>
      </c>
      <c r="J49" s="13">
        <f>IF(E49="",0,IF(F49=0,0,(G49-F49)/F49))</f>
        <v/>
      </c>
      <c r="K49" s="13">
        <f>IF(H49=0,0,IF(H$57=0,0,H49/H$57))</f>
        <v/>
      </c>
      <c r="L49" s="26" t="n"/>
    </row>
    <row r="50">
      <c r="A50" s="8" t="n"/>
      <c r="B50" s="8" t="n"/>
      <c r="C50" s="8" t="n"/>
      <c r="D50" s="8" t="n"/>
      <c r="E50" s="9" t="n"/>
      <c r="F50" s="10" t="n"/>
      <c r="G50" s="10" t="n"/>
      <c r="H50" s="11">
        <f>IF(E50="",0,E50*G50)</f>
        <v/>
      </c>
      <c r="I50" s="12">
        <f>IF(E50="",0,(G50-F50)*E50)</f>
        <v/>
      </c>
      <c r="J50" s="13">
        <f>IF(E50="",0,IF(F50=0,0,(G50-F50)/F50))</f>
        <v/>
      </c>
      <c r="K50" s="13">
        <f>IF(H50=0,0,IF(H$57=0,0,H50/H$57))</f>
        <v/>
      </c>
      <c r="L50" s="26" t="n"/>
    </row>
    <row r="51">
      <c r="A51" s="8" t="n"/>
      <c r="B51" s="8" t="n"/>
      <c r="C51" s="8" t="n"/>
      <c r="D51" s="8" t="n"/>
      <c r="E51" s="9" t="n"/>
      <c r="F51" s="10" t="n"/>
      <c r="G51" s="10" t="n"/>
      <c r="H51" s="11">
        <f>IF(E51="",0,E51*G51)</f>
        <v/>
      </c>
      <c r="I51" s="12">
        <f>IF(E51="",0,(G51-F51)*E51)</f>
        <v/>
      </c>
      <c r="J51" s="13">
        <f>IF(E51="",0,IF(F51=0,0,(G51-F51)/F51))</f>
        <v/>
      </c>
      <c r="K51" s="13">
        <f>IF(H51=0,0,IF(H$57=0,0,H51/H$57))</f>
        <v/>
      </c>
      <c r="L51" s="26" t="n"/>
    </row>
    <row r="52">
      <c r="A52" s="8" t="n"/>
      <c r="B52" s="8" t="n"/>
      <c r="C52" s="8" t="n"/>
      <c r="D52" s="8" t="n"/>
      <c r="E52" s="9" t="n"/>
      <c r="F52" s="10" t="n"/>
      <c r="G52" s="10" t="n"/>
      <c r="H52" s="11">
        <f>IF(E52="",0,E52*G52)</f>
        <v/>
      </c>
      <c r="I52" s="12">
        <f>IF(E52="",0,(G52-F52)*E52)</f>
        <v/>
      </c>
      <c r="J52" s="13">
        <f>IF(E52="",0,IF(F52=0,0,(G52-F52)/F52))</f>
        <v/>
      </c>
      <c r="K52" s="13">
        <f>IF(H52=0,0,IF(H$57=0,0,H52/H$57))</f>
        <v/>
      </c>
      <c r="L52" s="26" t="n"/>
    </row>
    <row r="53">
      <c r="A53" s="8" t="n"/>
      <c r="B53" s="8" t="n"/>
      <c r="C53" s="8" t="n"/>
      <c r="D53" s="8" t="n"/>
      <c r="E53" s="9" t="n"/>
      <c r="F53" s="10" t="n"/>
      <c r="G53" s="10" t="n"/>
      <c r="H53" s="11">
        <f>IF(E53="",0,E53*G53)</f>
        <v/>
      </c>
      <c r="I53" s="12">
        <f>IF(E53="",0,(G53-F53)*E53)</f>
        <v/>
      </c>
      <c r="J53" s="13">
        <f>IF(E53="",0,IF(F53=0,0,(G53-F53)/F53))</f>
        <v/>
      </c>
      <c r="K53" s="13">
        <f>IF(H53=0,0,IF(H$57=0,0,H53/H$57))</f>
        <v/>
      </c>
      <c r="L53" s="26" t="n"/>
    </row>
    <row r="54">
      <c r="A54" s="8" t="n"/>
      <c r="B54" s="8" t="n"/>
      <c r="C54" s="8" t="n"/>
      <c r="D54" s="8" t="n"/>
      <c r="E54" s="9" t="n"/>
      <c r="F54" s="10" t="n"/>
      <c r="G54" s="10" t="n"/>
      <c r="H54" s="11">
        <f>IF(E54="",0,E54*G54)</f>
        <v/>
      </c>
      <c r="I54" s="12">
        <f>IF(E54="",0,(G54-F54)*E54)</f>
        <v/>
      </c>
      <c r="J54" s="13">
        <f>IF(E54="",0,IF(F54=0,0,(G54-F54)/F54))</f>
        <v/>
      </c>
      <c r="K54" s="13">
        <f>IF(H54=0,0,IF(H$57=0,0,H54/H$57))</f>
        <v/>
      </c>
      <c r="L54" s="26" t="n"/>
    </row>
    <row r="55">
      <c r="A55" s="8" t="n"/>
      <c r="B55" s="8" t="n"/>
      <c r="C55" s="8" t="n"/>
      <c r="D55" s="8" t="n"/>
      <c r="E55" s="9" t="n"/>
      <c r="F55" s="10" t="n"/>
      <c r="G55" s="10" t="n"/>
      <c r="H55" s="11">
        <f>IF(E55="",0,E55*G55)</f>
        <v/>
      </c>
      <c r="I55" s="12">
        <f>IF(E55="",0,(G55-F55)*E55)</f>
        <v/>
      </c>
      <c r="J55" s="13">
        <f>IF(E55="",0,IF(F55=0,0,(G55-F55)/F55))</f>
        <v/>
      </c>
      <c r="K55" s="13">
        <f>IF(H55=0,0,IF(H$57=0,0,H55/H$57))</f>
        <v/>
      </c>
      <c r="L55" s="26" t="n"/>
    </row>
    <row r="57">
      <c r="A57" s="14" t="inlineStr">
        <is>
          <t>TOTAL</t>
        </is>
      </c>
      <c r="B57" s="15" t="n"/>
      <c r="C57" s="15" t="n"/>
      <c r="D57" s="15" t="n"/>
      <c r="E57" s="15" t="n"/>
      <c r="F57" s="15" t="n"/>
      <c r="G57" s="15" t="n"/>
      <c r="H57" s="16">
        <f>SUM(H4:H55)</f>
        <v/>
      </c>
      <c r="I57" s="17">
        <f>SUM(I4:I55)</f>
        <v/>
      </c>
      <c r="J57" s="15" t="n"/>
      <c r="K57" s="18">
        <f>SUM(K4:K55)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H204"/>
  <sheetViews>
    <sheetView workbookViewId="0">
      <selection activeCell="I12" sqref="I12"/>
    </sheetView>
  </sheetViews>
  <sheetFormatPr baseColWidth="8" defaultRowHeight="14.4"/>
  <cols>
    <col width="14" customWidth="1" style="35" min="1" max="2"/>
    <col width="12" customWidth="1" style="35" min="3" max="3"/>
    <col width="10" customWidth="1" style="35" min="4" max="5"/>
    <col width="16" customWidth="1" style="35" min="6" max="8"/>
  </cols>
  <sheetData>
    <row r="1" ht="17.4" customHeight="1" s="35">
      <c r="A1" s="34" t="inlineStr">
        <is>
          <t>Trade Log</t>
        </is>
      </c>
    </row>
    <row r="2">
      <c r="A2" s="19" t="inlineStr">
        <is>
          <t>Log each buy/sell here. Update the Holdings sheet accordingly.</t>
        </is>
      </c>
    </row>
    <row r="4">
      <c r="A4" s="4" t="inlineStr">
        <is>
          <t>Date</t>
        </is>
      </c>
      <c r="B4" s="4" t="inlineStr">
        <is>
          <t>Account</t>
        </is>
      </c>
      <c r="C4" s="4" t="inlineStr">
        <is>
          <t>Asset Type</t>
        </is>
      </c>
      <c r="D4" s="4" t="inlineStr">
        <is>
          <t>Ticker</t>
        </is>
      </c>
      <c r="E4" s="4" t="inlineStr">
        <is>
          <t>Action</t>
        </is>
      </c>
      <c r="F4" s="4" t="inlineStr">
        <is>
          <t>Quantity</t>
        </is>
      </c>
      <c r="G4" s="4" t="inlineStr">
        <is>
          <t>Price per Unit</t>
        </is>
      </c>
      <c r="H4" s="4" t="inlineStr">
        <is>
          <t>Total Cost</t>
        </is>
      </c>
    </row>
    <row r="5">
      <c r="A5" s="20" t="n">
        <v>46107</v>
      </c>
      <c r="B5" s="8" t="inlineStr">
        <is>
          <t>Fidelity</t>
        </is>
      </c>
      <c r="C5" s="8" t="inlineStr">
        <is>
          <t>Stock</t>
        </is>
      </c>
      <c r="D5" s="8" t="inlineStr">
        <is>
          <t>NVDA</t>
        </is>
      </c>
      <c r="E5" s="8" t="inlineStr">
        <is>
          <t>Buy</t>
        </is>
      </c>
      <c r="F5" s="9" t="n">
        <v>2</v>
      </c>
      <c r="G5" s="10" t="n">
        <v>174.57</v>
      </c>
      <c r="H5" s="11">
        <f>IF(F5="","",F5*G5)</f>
        <v/>
      </c>
    </row>
    <row r="6">
      <c r="A6" s="20" t="n">
        <v>46107</v>
      </c>
      <c r="B6" s="8" t="inlineStr">
        <is>
          <t>Fidelity</t>
        </is>
      </c>
      <c r="C6" s="8" t="inlineStr">
        <is>
          <t>Stock</t>
        </is>
      </c>
      <c r="D6" s="8" t="inlineStr">
        <is>
          <t>BAC</t>
        </is>
      </c>
      <c r="E6" s="8" t="inlineStr">
        <is>
          <t>Buy</t>
        </is>
      </c>
      <c r="F6" s="9" t="n">
        <v>0.57</v>
      </c>
      <c r="G6" s="10" t="n">
        <v>48.11</v>
      </c>
      <c r="H6" s="11">
        <f>IF(F6="","",F6*G6)</f>
        <v/>
      </c>
    </row>
    <row r="7">
      <c r="A7" s="20" t="n">
        <v>46107</v>
      </c>
      <c r="B7" s="8" t="inlineStr">
        <is>
          <t>Fidelity</t>
        </is>
      </c>
      <c r="C7" s="8" t="inlineStr">
        <is>
          <t>ETF</t>
        </is>
      </c>
      <c r="D7" s="8" t="inlineStr">
        <is>
          <t>XLE</t>
        </is>
      </c>
      <c r="E7" s="8" t="inlineStr">
        <is>
          <t>Buy</t>
        </is>
      </c>
      <c r="F7" s="9" t="n">
        <v>2</v>
      </c>
      <c r="G7" s="10" t="n">
        <v>123.43</v>
      </c>
      <c r="H7" s="11">
        <f>IF(F7="","",F7*G7)</f>
        <v/>
      </c>
    </row>
    <row r="8">
      <c r="A8" s="20" t="n">
        <v>46107</v>
      </c>
      <c r="B8" s="8" t="inlineStr">
        <is>
          <t>Robinhood</t>
        </is>
      </c>
      <c r="C8" s="8" t="inlineStr">
        <is>
          <t>Crypto</t>
        </is>
      </c>
      <c r="D8" s="8" t="inlineStr">
        <is>
          <t>SOL</t>
        </is>
      </c>
      <c r="E8" s="8" t="inlineStr">
        <is>
          <t>Buy</t>
        </is>
      </c>
      <c r="F8" s="9" t="n">
        <v>1.0033</v>
      </c>
      <c r="G8" s="10" t="n">
        <v>86.70999999999999</v>
      </c>
      <c r="H8" s="11">
        <f>IF(F8="","",F8*G8)</f>
        <v/>
      </c>
    </row>
    <row r="9">
      <c r="A9" s="20" t="n">
        <v>46108</v>
      </c>
      <c r="B9" s="8" t="inlineStr">
        <is>
          <t>Robinhood</t>
        </is>
      </c>
      <c r="C9" s="8" t="inlineStr">
        <is>
          <t>Crypto</t>
        </is>
      </c>
      <c r="D9" s="8" t="inlineStr">
        <is>
          <t>BTC</t>
        </is>
      </c>
      <c r="E9" s="8" t="inlineStr">
        <is>
          <t>Buy</t>
        </is>
      </c>
      <c r="F9" s="9" t="n">
        <v>0.00144965</v>
      </c>
      <c r="G9" s="10" t="n">
        <v>69594.97</v>
      </c>
      <c r="H9" s="11">
        <f>IF(F9="","",F9*G9)</f>
        <v/>
      </c>
    </row>
    <row r="10">
      <c r="A10" s="20" t="n">
        <v>46109</v>
      </c>
      <c r="B10" s="8" t="inlineStr">
        <is>
          <t>Robinhood</t>
        </is>
      </c>
      <c r="C10" s="8" t="inlineStr">
        <is>
          <t>Crypto</t>
        </is>
      </c>
      <c r="D10" s="8" t="inlineStr">
        <is>
          <t>ETH</t>
        </is>
      </c>
      <c r="E10" s="8" t="inlineStr">
        <is>
          <t>Buy</t>
        </is>
      </c>
      <c r="F10" s="9" t="n">
        <v>0.030515</v>
      </c>
      <c r="G10" s="10" t="n">
        <v>2064.26</v>
      </c>
      <c r="H10" s="11">
        <f>IF(F10="","",F10*G10)</f>
        <v/>
      </c>
    </row>
    <row r="11">
      <c r="A11" s="20" t="n"/>
      <c r="B11" s="8" t="n"/>
      <c r="C11" s="8" t="n"/>
      <c r="D11" s="8" t="n"/>
      <c r="E11" s="8" t="n"/>
      <c r="F11" s="9" t="n"/>
      <c r="G11" s="10" t="n"/>
      <c r="H11" s="11">
        <f>IF(F11="","",F11*G11)</f>
        <v/>
      </c>
    </row>
    <row r="12">
      <c r="A12" s="20" t="n"/>
      <c r="B12" s="8" t="n"/>
      <c r="C12" s="8" t="n"/>
      <c r="D12" s="8" t="n"/>
      <c r="E12" s="8" t="n"/>
      <c r="F12" s="9" t="n"/>
      <c r="G12" s="10" t="n"/>
      <c r="H12" s="11">
        <f>IF(F12="","",F12*G12)</f>
        <v/>
      </c>
    </row>
    <row r="13">
      <c r="A13" s="20" t="n"/>
      <c r="B13" s="8" t="n"/>
      <c r="C13" s="8" t="n"/>
      <c r="D13" s="8" t="n"/>
      <c r="E13" s="8" t="n"/>
      <c r="F13" s="9" t="n"/>
      <c r="G13" s="10" t="n"/>
      <c r="H13" s="11">
        <f>IF(F13="","",F13*G13)</f>
        <v/>
      </c>
    </row>
    <row r="14">
      <c r="A14" s="20" t="n"/>
      <c r="B14" s="8" t="n"/>
      <c r="C14" s="8" t="n"/>
      <c r="D14" s="8" t="n"/>
      <c r="E14" s="8" t="n"/>
      <c r="F14" s="9" t="n"/>
      <c r="G14" s="10" t="n"/>
      <c r="H14" s="11">
        <f>IF(F14="","",F14*G14)</f>
        <v/>
      </c>
    </row>
    <row r="15">
      <c r="A15" s="20" t="n"/>
      <c r="B15" s="8" t="n"/>
      <c r="C15" s="8" t="n"/>
      <c r="D15" s="8" t="n"/>
      <c r="E15" s="8" t="n"/>
      <c r="F15" s="9" t="n"/>
      <c r="G15" s="10" t="n"/>
      <c r="H15" s="11">
        <f>IF(F15="","",F15*G15)</f>
        <v/>
      </c>
    </row>
    <row r="16">
      <c r="A16" s="20" t="n"/>
      <c r="B16" s="8" t="n"/>
      <c r="C16" s="8" t="n"/>
      <c r="D16" s="8" t="n"/>
      <c r="E16" s="8" t="n"/>
      <c r="F16" s="9" t="n"/>
      <c r="G16" s="10" t="n"/>
      <c r="H16" s="11">
        <f>IF(F16="","",F16*G16)</f>
        <v/>
      </c>
    </row>
    <row r="17">
      <c r="A17" s="20" t="n"/>
      <c r="B17" s="8" t="n"/>
      <c r="C17" s="8" t="n"/>
      <c r="D17" s="8" t="n"/>
      <c r="E17" s="8" t="n"/>
      <c r="F17" s="9" t="n"/>
      <c r="G17" s="10" t="n"/>
      <c r="H17" s="11">
        <f>IF(F17="","",F17*G17)</f>
        <v/>
      </c>
    </row>
    <row r="18">
      <c r="A18" s="20" t="n"/>
      <c r="B18" s="8" t="n"/>
      <c r="C18" s="8" t="n"/>
      <c r="D18" s="8" t="n"/>
      <c r="E18" s="8" t="n"/>
      <c r="F18" s="9" t="n"/>
      <c r="G18" s="10" t="n"/>
      <c r="H18" s="11">
        <f>IF(F18="","",F18*G18)</f>
        <v/>
      </c>
    </row>
    <row r="19">
      <c r="A19" s="20" t="n"/>
      <c r="B19" s="8" t="n"/>
      <c r="C19" s="8" t="n"/>
      <c r="D19" s="8" t="n"/>
      <c r="E19" s="8" t="n"/>
      <c r="F19" s="9" t="n"/>
      <c r="G19" s="10" t="n"/>
      <c r="H19" s="11">
        <f>IF(F19="","",F19*G19)</f>
        <v/>
      </c>
    </row>
    <row r="20">
      <c r="A20" s="20" t="n"/>
      <c r="B20" s="8" t="n"/>
      <c r="C20" s="8" t="n"/>
      <c r="D20" s="8" t="n"/>
      <c r="E20" s="8" t="n"/>
      <c r="F20" s="9" t="n"/>
      <c r="G20" s="10" t="n"/>
      <c r="H20" s="11">
        <f>IF(F20="","",F20*G20)</f>
        <v/>
      </c>
    </row>
    <row r="21">
      <c r="A21" s="20" t="n"/>
      <c r="B21" s="8" t="n"/>
      <c r="C21" s="8" t="n"/>
      <c r="D21" s="8" t="n"/>
      <c r="E21" s="8" t="n"/>
      <c r="F21" s="9" t="n"/>
      <c r="G21" s="10" t="n"/>
      <c r="H21" s="11">
        <f>IF(F21="","",F21*G21)</f>
        <v/>
      </c>
    </row>
    <row r="22">
      <c r="A22" s="20" t="n"/>
      <c r="B22" s="8" t="n"/>
      <c r="C22" s="8" t="n"/>
      <c r="D22" s="8" t="n"/>
      <c r="E22" s="8" t="n"/>
      <c r="F22" s="9" t="n"/>
      <c r="G22" s="10" t="n"/>
      <c r="H22" s="11">
        <f>IF(F22="","",F22*G22)</f>
        <v/>
      </c>
    </row>
    <row r="23">
      <c r="A23" s="20" t="n"/>
      <c r="B23" s="8" t="n"/>
      <c r="C23" s="8" t="n"/>
      <c r="D23" s="8" t="n"/>
      <c r="E23" s="8" t="n"/>
      <c r="F23" s="9" t="n"/>
      <c r="G23" s="10" t="n"/>
      <c r="H23" s="11">
        <f>IF(F23="","",F23*G23)</f>
        <v/>
      </c>
    </row>
    <row r="24">
      <c r="A24" s="20" t="n"/>
      <c r="B24" s="8" t="n"/>
      <c r="C24" s="8" t="n"/>
      <c r="D24" s="8" t="n"/>
      <c r="E24" s="8" t="n"/>
      <c r="F24" s="9" t="n"/>
      <c r="G24" s="10" t="n"/>
      <c r="H24" s="11">
        <f>IF(F24="","",F24*G24)</f>
        <v/>
      </c>
    </row>
    <row r="25">
      <c r="A25" s="20" t="n"/>
      <c r="B25" s="8" t="n"/>
      <c r="C25" s="8" t="n"/>
      <c r="D25" s="8" t="n"/>
      <c r="E25" s="8" t="n"/>
      <c r="F25" s="9" t="n"/>
      <c r="G25" s="10" t="n"/>
      <c r="H25" s="11">
        <f>IF(F25="","",F25*G25)</f>
        <v/>
      </c>
    </row>
    <row r="26">
      <c r="A26" s="20" t="n"/>
      <c r="B26" s="8" t="n"/>
      <c r="C26" s="8" t="n"/>
      <c r="D26" s="8" t="n"/>
      <c r="E26" s="8" t="n"/>
      <c r="F26" s="9" t="n"/>
      <c r="G26" s="10" t="n"/>
      <c r="H26" s="11">
        <f>IF(F26="","",F26*G26)</f>
        <v/>
      </c>
    </row>
    <row r="27">
      <c r="A27" s="20" t="n"/>
      <c r="B27" s="8" t="n"/>
      <c r="C27" s="8" t="n"/>
      <c r="D27" s="8" t="n"/>
      <c r="E27" s="8" t="n"/>
      <c r="F27" s="9" t="n"/>
      <c r="G27" s="10" t="n"/>
      <c r="H27" s="11">
        <f>IF(F27="","",F27*G27)</f>
        <v/>
      </c>
    </row>
    <row r="28">
      <c r="A28" s="20" t="n"/>
      <c r="B28" s="8" t="n"/>
      <c r="C28" s="8" t="n"/>
      <c r="D28" s="8" t="n"/>
      <c r="E28" s="8" t="n"/>
      <c r="F28" s="9" t="n"/>
      <c r="G28" s="10" t="n"/>
      <c r="H28" s="11">
        <f>IF(F28="","",F28*G28)</f>
        <v/>
      </c>
    </row>
    <row r="29">
      <c r="A29" s="20" t="n"/>
      <c r="B29" s="8" t="n"/>
      <c r="C29" s="8" t="n"/>
      <c r="D29" s="8" t="n"/>
      <c r="E29" s="8" t="n"/>
      <c r="F29" s="9" t="n"/>
      <c r="G29" s="10" t="n"/>
      <c r="H29" s="11">
        <f>IF(F29="","",F29*G29)</f>
        <v/>
      </c>
    </row>
    <row r="30">
      <c r="A30" s="20" t="n"/>
      <c r="B30" s="8" t="n"/>
      <c r="C30" s="8" t="n"/>
      <c r="D30" s="8" t="n"/>
      <c r="E30" s="8" t="n"/>
      <c r="F30" s="9" t="n"/>
      <c r="G30" s="10" t="n"/>
      <c r="H30" s="11">
        <f>IF(F30="","",F30*G30)</f>
        <v/>
      </c>
    </row>
    <row r="31">
      <c r="A31" s="20" t="n"/>
      <c r="B31" s="8" t="n"/>
      <c r="C31" s="8" t="n"/>
      <c r="D31" s="8" t="n"/>
      <c r="E31" s="8" t="n"/>
      <c r="F31" s="9" t="n"/>
      <c r="G31" s="10" t="n"/>
      <c r="H31" s="11">
        <f>IF(F31="","",F31*G31)</f>
        <v/>
      </c>
    </row>
    <row r="32">
      <c r="A32" s="20" t="n"/>
      <c r="B32" s="8" t="n"/>
      <c r="C32" s="8" t="n"/>
      <c r="D32" s="8" t="n"/>
      <c r="E32" s="8" t="n"/>
      <c r="F32" s="9" t="n"/>
      <c r="G32" s="10" t="n"/>
      <c r="H32" s="11">
        <f>IF(F32="","",F32*G32)</f>
        <v/>
      </c>
    </row>
    <row r="33">
      <c r="A33" s="20" t="n"/>
      <c r="B33" s="8" t="n"/>
      <c r="C33" s="8" t="n"/>
      <c r="D33" s="8" t="n"/>
      <c r="E33" s="8" t="n"/>
      <c r="F33" s="9" t="n"/>
      <c r="G33" s="10" t="n"/>
      <c r="H33" s="11">
        <f>IF(F33="","",F33*G33)</f>
        <v/>
      </c>
    </row>
    <row r="34">
      <c r="A34" s="20" t="n"/>
      <c r="B34" s="8" t="n"/>
      <c r="C34" s="8" t="n"/>
      <c r="D34" s="8" t="n"/>
      <c r="E34" s="8" t="n"/>
      <c r="F34" s="9" t="n"/>
      <c r="G34" s="10" t="n"/>
      <c r="H34" s="11">
        <f>IF(F34="","",F34*G34)</f>
        <v/>
      </c>
    </row>
    <row r="35">
      <c r="A35" s="20" t="n"/>
      <c r="B35" s="8" t="n"/>
      <c r="C35" s="8" t="n"/>
      <c r="D35" s="8" t="n"/>
      <c r="E35" s="8" t="n"/>
      <c r="F35" s="9" t="n"/>
      <c r="G35" s="10" t="n"/>
      <c r="H35" s="11">
        <f>IF(F35="","",F35*G35)</f>
        <v/>
      </c>
    </row>
    <row r="36">
      <c r="A36" s="20" t="n"/>
      <c r="B36" s="8" t="n"/>
      <c r="C36" s="8" t="n"/>
      <c r="D36" s="8" t="n"/>
      <c r="E36" s="8" t="n"/>
      <c r="F36" s="9" t="n"/>
      <c r="G36" s="10" t="n"/>
      <c r="H36" s="11">
        <f>IF(F36="","",F36*G36)</f>
        <v/>
      </c>
    </row>
    <row r="37">
      <c r="A37" s="20" t="n"/>
      <c r="B37" s="8" t="n"/>
      <c r="C37" s="8" t="n"/>
      <c r="D37" s="8" t="n"/>
      <c r="E37" s="8" t="n"/>
      <c r="F37" s="9" t="n"/>
      <c r="G37" s="10" t="n"/>
      <c r="H37" s="11">
        <f>IF(F37="","",F37*G37)</f>
        <v/>
      </c>
    </row>
    <row r="38">
      <c r="A38" s="20" t="n"/>
      <c r="B38" s="8" t="n"/>
      <c r="C38" s="8" t="n"/>
      <c r="D38" s="8" t="n"/>
      <c r="E38" s="8" t="n"/>
      <c r="F38" s="9" t="n"/>
      <c r="G38" s="10" t="n"/>
      <c r="H38" s="11">
        <f>IF(F38="","",F38*G38)</f>
        <v/>
      </c>
    </row>
    <row r="39">
      <c r="A39" s="20" t="n"/>
      <c r="B39" s="8" t="n"/>
      <c r="C39" s="8" t="n"/>
      <c r="D39" s="8" t="n"/>
      <c r="E39" s="8" t="n"/>
      <c r="F39" s="9" t="n"/>
      <c r="G39" s="10" t="n"/>
      <c r="H39" s="11">
        <f>IF(F39="","",F39*G39)</f>
        <v/>
      </c>
    </row>
    <row r="40">
      <c r="A40" s="20" t="n"/>
      <c r="B40" s="8" t="n"/>
      <c r="C40" s="8" t="n"/>
      <c r="D40" s="8" t="n"/>
      <c r="E40" s="8" t="n"/>
      <c r="F40" s="9" t="n"/>
      <c r="G40" s="10" t="n"/>
      <c r="H40" s="11">
        <f>IF(F40="","",F40*G40)</f>
        <v/>
      </c>
    </row>
    <row r="41">
      <c r="A41" s="20" t="n"/>
      <c r="B41" s="8" t="n"/>
      <c r="C41" s="8" t="n"/>
      <c r="D41" s="8" t="n"/>
      <c r="E41" s="8" t="n"/>
      <c r="F41" s="9" t="n"/>
      <c r="G41" s="10" t="n"/>
      <c r="H41" s="11">
        <f>IF(F41="","",F41*G41)</f>
        <v/>
      </c>
    </row>
    <row r="42">
      <c r="A42" s="20" t="n"/>
      <c r="B42" s="8" t="n"/>
      <c r="C42" s="8" t="n"/>
      <c r="D42" s="8" t="n"/>
      <c r="E42" s="8" t="n"/>
      <c r="F42" s="9" t="n"/>
      <c r="G42" s="10" t="n"/>
      <c r="H42" s="11">
        <f>IF(F42="","",F42*G42)</f>
        <v/>
      </c>
    </row>
    <row r="43">
      <c r="A43" s="20" t="n"/>
      <c r="B43" s="8" t="n"/>
      <c r="C43" s="8" t="n"/>
      <c r="D43" s="8" t="n"/>
      <c r="E43" s="8" t="n"/>
      <c r="F43" s="9" t="n"/>
      <c r="G43" s="10" t="n"/>
      <c r="H43" s="11">
        <f>IF(F43="","",F43*G43)</f>
        <v/>
      </c>
    </row>
    <row r="44">
      <c r="A44" s="20" t="n"/>
      <c r="B44" s="8" t="n"/>
      <c r="C44" s="8" t="n"/>
      <c r="D44" s="8" t="n"/>
      <c r="E44" s="8" t="n"/>
      <c r="F44" s="9" t="n"/>
      <c r="G44" s="10" t="n"/>
      <c r="H44" s="11">
        <f>IF(F44="","",F44*G44)</f>
        <v/>
      </c>
    </row>
    <row r="45">
      <c r="A45" s="20" t="n"/>
      <c r="B45" s="8" t="n"/>
      <c r="C45" s="8" t="n"/>
      <c r="D45" s="8" t="n"/>
      <c r="E45" s="8" t="n"/>
      <c r="F45" s="9" t="n"/>
      <c r="G45" s="10" t="n"/>
      <c r="H45" s="11">
        <f>IF(F45="","",F45*G45)</f>
        <v/>
      </c>
    </row>
    <row r="46">
      <c r="A46" s="20" t="n"/>
      <c r="B46" s="8" t="n"/>
      <c r="C46" s="8" t="n"/>
      <c r="D46" s="8" t="n"/>
      <c r="E46" s="8" t="n"/>
      <c r="F46" s="9" t="n"/>
      <c r="G46" s="10" t="n"/>
      <c r="H46" s="11">
        <f>IF(F46="","",F46*G46)</f>
        <v/>
      </c>
    </row>
    <row r="47">
      <c r="A47" s="20" t="n"/>
      <c r="B47" s="8" t="n"/>
      <c r="C47" s="8" t="n"/>
      <c r="D47" s="8" t="n"/>
      <c r="E47" s="8" t="n"/>
      <c r="F47" s="9" t="n"/>
      <c r="G47" s="10" t="n"/>
      <c r="H47" s="11">
        <f>IF(F47="","",F47*G47)</f>
        <v/>
      </c>
    </row>
    <row r="48">
      <c r="A48" s="20" t="n"/>
      <c r="B48" s="8" t="n"/>
      <c r="C48" s="8" t="n"/>
      <c r="D48" s="8" t="n"/>
      <c r="E48" s="8" t="n"/>
      <c r="F48" s="9" t="n"/>
      <c r="G48" s="10" t="n"/>
      <c r="H48" s="11">
        <f>IF(F48="","",F48*G48)</f>
        <v/>
      </c>
    </row>
    <row r="49">
      <c r="A49" s="20" t="n"/>
      <c r="B49" s="8" t="n"/>
      <c r="C49" s="8" t="n"/>
      <c r="D49" s="8" t="n"/>
      <c r="E49" s="8" t="n"/>
      <c r="F49" s="9" t="n"/>
      <c r="G49" s="10" t="n"/>
      <c r="H49" s="11">
        <f>IF(F49="","",F49*G49)</f>
        <v/>
      </c>
    </row>
    <row r="50">
      <c r="A50" s="20" t="n"/>
      <c r="B50" s="8" t="n"/>
      <c r="C50" s="8" t="n"/>
      <c r="D50" s="8" t="n"/>
      <c r="E50" s="8" t="n"/>
      <c r="F50" s="9" t="n"/>
      <c r="G50" s="10" t="n"/>
      <c r="H50" s="11">
        <f>IF(F50="","",F50*G50)</f>
        <v/>
      </c>
    </row>
    <row r="51">
      <c r="A51" s="20" t="n"/>
      <c r="B51" s="8" t="n"/>
      <c r="C51" s="8" t="n"/>
      <c r="D51" s="8" t="n"/>
      <c r="E51" s="8" t="n"/>
      <c r="F51" s="9" t="n"/>
      <c r="G51" s="10" t="n"/>
      <c r="H51" s="11">
        <f>IF(F51="","",F51*G51)</f>
        <v/>
      </c>
    </row>
    <row r="52">
      <c r="A52" s="20" t="n"/>
      <c r="B52" s="8" t="n"/>
      <c r="C52" s="8" t="n"/>
      <c r="D52" s="8" t="n"/>
      <c r="E52" s="8" t="n"/>
      <c r="F52" s="9" t="n"/>
      <c r="G52" s="10" t="n"/>
      <c r="H52" s="11">
        <f>IF(F52="","",F52*G52)</f>
        <v/>
      </c>
    </row>
    <row r="53">
      <c r="A53" s="20" t="n"/>
      <c r="B53" s="8" t="n"/>
      <c r="C53" s="8" t="n"/>
      <c r="D53" s="8" t="n"/>
      <c r="E53" s="8" t="n"/>
      <c r="F53" s="9" t="n"/>
      <c r="G53" s="10" t="n"/>
      <c r="H53" s="11">
        <f>IF(F53="","",F53*G53)</f>
        <v/>
      </c>
    </row>
    <row r="54">
      <c r="A54" s="20" t="n"/>
      <c r="B54" s="8" t="n"/>
      <c r="C54" s="8" t="n"/>
      <c r="D54" s="8" t="n"/>
      <c r="E54" s="8" t="n"/>
      <c r="F54" s="9" t="n"/>
      <c r="G54" s="10" t="n"/>
      <c r="H54" s="11">
        <f>IF(F54="","",F54*G54)</f>
        <v/>
      </c>
    </row>
    <row r="55">
      <c r="A55" s="20" t="n"/>
      <c r="B55" s="8" t="n"/>
      <c r="C55" s="8" t="n"/>
      <c r="D55" s="8" t="n"/>
      <c r="E55" s="8" t="n"/>
      <c r="F55" s="9" t="n"/>
      <c r="G55" s="10" t="n"/>
      <c r="H55" s="11">
        <f>IF(F55="","",F55*G55)</f>
        <v/>
      </c>
    </row>
    <row r="56">
      <c r="A56" s="20" t="n"/>
      <c r="B56" s="8" t="n"/>
      <c r="C56" s="8" t="n"/>
      <c r="D56" s="8" t="n"/>
      <c r="E56" s="8" t="n"/>
      <c r="F56" s="9" t="n"/>
      <c r="G56" s="10" t="n"/>
      <c r="H56" s="11">
        <f>IF(F56="","",F56*G56)</f>
        <v/>
      </c>
    </row>
    <row r="57">
      <c r="A57" s="20" t="n"/>
      <c r="B57" s="8" t="n"/>
      <c r="C57" s="8" t="n"/>
      <c r="D57" s="8" t="n"/>
      <c r="E57" s="8" t="n"/>
      <c r="F57" s="9" t="n"/>
      <c r="G57" s="10" t="n"/>
      <c r="H57" s="11">
        <f>IF(F57="","",F57*G57)</f>
        <v/>
      </c>
    </row>
    <row r="58">
      <c r="A58" s="20" t="n"/>
      <c r="B58" s="8" t="n"/>
      <c r="C58" s="8" t="n"/>
      <c r="D58" s="8" t="n"/>
      <c r="E58" s="8" t="n"/>
      <c r="F58" s="9" t="n"/>
      <c r="G58" s="10" t="n"/>
      <c r="H58" s="11">
        <f>IF(F58="","",F58*G58)</f>
        <v/>
      </c>
    </row>
    <row r="59">
      <c r="A59" s="20" t="n"/>
      <c r="B59" s="8" t="n"/>
      <c r="C59" s="8" t="n"/>
      <c r="D59" s="8" t="n"/>
      <c r="E59" s="8" t="n"/>
      <c r="F59" s="9" t="n"/>
      <c r="G59" s="10" t="n"/>
      <c r="H59" s="11">
        <f>IF(F59="","",F59*G59)</f>
        <v/>
      </c>
    </row>
    <row r="60">
      <c r="A60" s="20" t="n"/>
      <c r="B60" s="8" t="n"/>
      <c r="C60" s="8" t="n"/>
      <c r="D60" s="8" t="n"/>
      <c r="E60" s="8" t="n"/>
      <c r="F60" s="9" t="n"/>
      <c r="G60" s="10" t="n"/>
      <c r="H60" s="11">
        <f>IF(F60="","",F60*G60)</f>
        <v/>
      </c>
    </row>
    <row r="61">
      <c r="A61" s="20" t="n"/>
      <c r="B61" s="8" t="n"/>
      <c r="C61" s="8" t="n"/>
      <c r="D61" s="8" t="n"/>
      <c r="E61" s="8" t="n"/>
      <c r="F61" s="9" t="n"/>
      <c r="G61" s="10" t="n"/>
      <c r="H61" s="11">
        <f>IF(F61="","",F61*G61)</f>
        <v/>
      </c>
    </row>
    <row r="62">
      <c r="A62" s="20" t="n"/>
      <c r="B62" s="8" t="n"/>
      <c r="C62" s="8" t="n"/>
      <c r="D62" s="8" t="n"/>
      <c r="E62" s="8" t="n"/>
      <c r="F62" s="9" t="n"/>
      <c r="G62" s="10" t="n"/>
      <c r="H62" s="11">
        <f>IF(F62="","",F62*G62)</f>
        <v/>
      </c>
    </row>
    <row r="63">
      <c r="A63" s="20" t="n"/>
      <c r="B63" s="8" t="n"/>
      <c r="C63" s="8" t="n"/>
      <c r="D63" s="8" t="n"/>
      <c r="E63" s="8" t="n"/>
      <c r="F63" s="9" t="n"/>
      <c r="G63" s="10" t="n"/>
      <c r="H63" s="11">
        <f>IF(F63="","",F63*G63)</f>
        <v/>
      </c>
    </row>
    <row r="64">
      <c r="A64" s="20" t="n"/>
      <c r="B64" s="8" t="n"/>
      <c r="C64" s="8" t="n"/>
      <c r="D64" s="8" t="n"/>
      <c r="E64" s="8" t="n"/>
      <c r="F64" s="9" t="n"/>
      <c r="G64" s="10" t="n"/>
      <c r="H64" s="11">
        <f>IF(F64="","",F64*G64)</f>
        <v/>
      </c>
    </row>
    <row r="65">
      <c r="A65" s="20" t="n"/>
      <c r="B65" s="8" t="n"/>
      <c r="C65" s="8" t="n"/>
      <c r="D65" s="8" t="n"/>
      <c r="E65" s="8" t="n"/>
      <c r="F65" s="9" t="n"/>
      <c r="G65" s="10" t="n"/>
      <c r="H65" s="11">
        <f>IF(F65="","",F65*G65)</f>
        <v/>
      </c>
    </row>
    <row r="66">
      <c r="A66" s="20" t="n"/>
      <c r="B66" s="8" t="n"/>
      <c r="C66" s="8" t="n"/>
      <c r="D66" s="8" t="n"/>
      <c r="E66" s="8" t="n"/>
      <c r="F66" s="9" t="n"/>
      <c r="G66" s="10" t="n"/>
      <c r="H66" s="11">
        <f>IF(F66="","",F66*G66)</f>
        <v/>
      </c>
    </row>
    <row r="67">
      <c r="A67" s="20" t="n"/>
      <c r="B67" s="8" t="n"/>
      <c r="C67" s="8" t="n"/>
      <c r="D67" s="8" t="n"/>
      <c r="E67" s="8" t="n"/>
      <c r="F67" s="9" t="n"/>
      <c r="G67" s="10" t="n"/>
      <c r="H67" s="11">
        <f>IF(F67="","",F67*G67)</f>
        <v/>
      </c>
    </row>
    <row r="68">
      <c r="A68" s="20" t="n"/>
      <c r="B68" s="8" t="n"/>
      <c r="C68" s="8" t="n"/>
      <c r="D68" s="8" t="n"/>
      <c r="E68" s="8" t="n"/>
      <c r="F68" s="9" t="n"/>
      <c r="G68" s="10" t="n"/>
      <c r="H68" s="11">
        <f>IF(F68="","",F68*G68)</f>
        <v/>
      </c>
    </row>
    <row r="69">
      <c r="A69" s="20" t="n"/>
      <c r="B69" s="8" t="n"/>
      <c r="C69" s="8" t="n"/>
      <c r="D69" s="8" t="n"/>
      <c r="E69" s="8" t="n"/>
      <c r="F69" s="9" t="n"/>
      <c r="G69" s="10" t="n"/>
      <c r="H69" s="11">
        <f>IF(F69="","",F69*G69)</f>
        <v/>
      </c>
    </row>
    <row r="70">
      <c r="A70" s="20" t="n"/>
      <c r="B70" s="8" t="n"/>
      <c r="C70" s="8" t="n"/>
      <c r="D70" s="8" t="n"/>
      <c r="E70" s="8" t="n"/>
      <c r="F70" s="9" t="n"/>
      <c r="G70" s="10" t="n"/>
      <c r="H70" s="11">
        <f>IF(F70="","",F70*G70)</f>
        <v/>
      </c>
    </row>
    <row r="71">
      <c r="A71" s="20" t="n"/>
      <c r="B71" s="8" t="n"/>
      <c r="C71" s="8" t="n"/>
      <c r="D71" s="8" t="n"/>
      <c r="E71" s="8" t="n"/>
      <c r="F71" s="9" t="n"/>
      <c r="G71" s="10" t="n"/>
      <c r="H71" s="11">
        <f>IF(F71="","",F71*G71)</f>
        <v/>
      </c>
    </row>
    <row r="72">
      <c r="A72" s="20" t="n"/>
      <c r="B72" s="8" t="n"/>
      <c r="C72" s="8" t="n"/>
      <c r="D72" s="8" t="n"/>
      <c r="E72" s="8" t="n"/>
      <c r="F72" s="9" t="n"/>
      <c r="G72" s="10" t="n"/>
      <c r="H72" s="11">
        <f>IF(F72="","",F72*G72)</f>
        <v/>
      </c>
    </row>
    <row r="73">
      <c r="A73" s="20" t="n"/>
      <c r="B73" s="8" t="n"/>
      <c r="C73" s="8" t="n"/>
      <c r="D73" s="8" t="n"/>
      <c r="E73" s="8" t="n"/>
      <c r="F73" s="9" t="n"/>
      <c r="G73" s="10" t="n"/>
      <c r="H73" s="11">
        <f>IF(F73="","",F73*G73)</f>
        <v/>
      </c>
    </row>
    <row r="74">
      <c r="A74" s="20" t="n"/>
      <c r="B74" s="8" t="n"/>
      <c r="C74" s="8" t="n"/>
      <c r="D74" s="8" t="n"/>
      <c r="E74" s="8" t="n"/>
      <c r="F74" s="9" t="n"/>
      <c r="G74" s="10" t="n"/>
      <c r="H74" s="11">
        <f>IF(F74="","",F74*G74)</f>
        <v/>
      </c>
    </row>
    <row r="75">
      <c r="A75" s="20" t="n"/>
      <c r="B75" s="8" t="n"/>
      <c r="C75" s="8" t="n"/>
      <c r="D75" s="8" t="n"/>
      <c r="E75" s="8" t="n"/>
      <c r="F75" s="9" t="n"/>
      <c r="G75" s="10" t="n"/>
      <c r="H75" s="11">
        <f>IF(F75="","",F75*G75)</f>
        <v/>
      </c>
    </row>
    <row r="76">
      <c r="A76" s="20" t="n"/>
      <c r="B76" s="8" t="n"/>
      <c r="C76" s="8" t="n"/>
      <c r="D76" s="8" t="n"/>
      <c r="E76" s="8" t="n"/>
      <c r="F76" s="9" t="n"/>
      <c r="G76" s="10" t="n"/>
      <c r="H76" s="11">
        <f>IF(F76="","",F76*G76)</f>
        <v/>
      </c>
    </row>
    <row r="77">
      <c r="A77" s="20" t="n"/>
      <c r="B77" s="8" t="n"/>
      <c r="C77" s="8" t="n"/>
      <c r="D77" s="8" t="n"/>
      <c r="E77" s="8" t="n"/>
      <c r="F77" s="9" t="n"/>
      <c r="G77" s="10" t="n"/>
      <c r="H77" s="11">
        <f>IF(F77="","",F77*G77)</f>
        <v/>
      </c>
    </row>
    <row r="78">
      <c r="A78" s="20" t="n"/>
      <c r="B78" s="8" t="n"/>
      <c r="C78" s="8" t="n"/>
      <c r="D78" s="8" t="n"/>
      <c r="E78" s="8" t="n"/>
      <c r="F78" s="9" t="n"/>
      <c r="G78" s="10" t="n"/>
      <c r="H78" s="11">
        <f>IF(F78="","",F78*G78)</f>
        <v/>
      </c>
    </row>
    <row r="79">
      <c r="A79" s="20" t="n"/>
      <c r="B79" s="8" t="n"/>
      <c r="C79" s="8" t="n"/>
      <c r="D79" s="8" t="n"/>
      <c r="E79" s="8" t="n"/>
      <c r="F79" s="9" t="n"/>
      <c r="G79" s="10" t="n"/>
      <c r="H79" s="11">
        <f>IF(F79="","",F79*G79)</f>
        <v/>
      </c>
    </row>
    <row r="80">
      <c r="A80" s="20" t="n"/>
      <c r="B80" s="8" t="n"/>
      <c r="C80" s="8" t="n"/>
      <c r="D80" s="8" t="n"/>
      <c r="E80" s="8" t="n"/>
      <c r="F80" s="9" t="n"/>
      <c r="G80" s="10" t="n"/>
      <c r="H80" s="11">
        <f>IF(F80="","",F80*G80)</f>
        <v/>
      </c>
    </row>
    <row r="81">
      <c r="A81" s="20" t="n"/>
      <c r="B81" s="8" t="n"/>
      <c r="C81" s="8" t="n"/>
      <c r="D81" s="8" t="n"/>
      <c r="E81" s="8" t="n"/>
      <c r="F81" s="9" t="n"/>
      <c r="G81" s="10" t="n"/>
      <c r="H81" s="11">
        <f>IF(F81="","",F81*G81)</f>
        <v/>
      </c>
    </row>
    <row r="82">
      <c r="A82" s="20" t="n"/>
      <c r="B82" s="8" t="n"/>
      <c r="C82" s="8" t="n"/>
      <c r="D82" s="8" t="n"/>
      <c r="E82" s="8" t="n"/>
      <c r="F82" s="9" t="n"/>
      <c r="G82" s="10" t="n"/>
      <c r="H82" s="11">
        <f>IF(F82="","",F82*G82)</f>
        <v/>
      </c>
    </row>
    <row r="83">
      <c r="A83" s="20" t="n"/>
      <c r="B83" s="8" t="n"/>
      <c r="C83" s="8" t="n"/>
      <c r="D83" s="8" t="n"/>
      <c r="E83" s="8" t="n"/>
      <c r="F83" s="9" t="n"/>
      <c r="G83" s="10" t="n"/>
      <c r="H83" s="11">
        <f>IF(F83="","",F83*G83)</f>
        <v/>
      </c>
    </row>
    <row r="84">
      <c r="A84" s="20" t="n"/>
      <c r="B84" s="8" t="n"/>
      <c r="C84" s="8" t="n"/>
      <c r="D84" s="8" t="n"/>
      <c r="E84" s="8" t="n"/>
      <c r="F84" s="9" t="n"/>
      <c r="G84" s="10" t="n"/>
      <c r="H84" s="11">
        <f>IF(F84="","",F84*G84)</f>
        <v/>
      </c>
    </row>
    <row r="85">
      <c r="A85" s="20" t="n"/>
      <c r="B85" s="8" t="n"/>
      <c r="C85" s="8" t="n"/>
      <c r="D85" s="8" t="n"/>
      <c r="E85" s="8" t="n"/>
      <c r="F85" s="9" t="n"/>
      <c r="G85" s="10" t="n"/>
      <c r="H85" s="11">
        <f>IF(F85="","",F85*G85)</f>
        <v/>
      </c>
    </row>
    <row r="86">
      <c r="A86" s="20" t="n"/>
      <c r="B86" s="8" t="n"/>
      <c r="C86" s="8" t="n"/>
      <c r="D86" s="8" t="n"/>
      <c r="E86" s="8" t="n"/>
      <c r="F86" s="9" t="n"/>
      <c r="G86" s="10" t="n"/>
      <c r="H86" s="11">
        <f>IF(F86="","",F86*G86)</f>
        <v/>
      </c>
    </row>
    <row r="87">
      <c r="A87" s="20" t="n"/>
      <c r="B87" s="8" t="n"/>
      <c r="C87" s="8" t="n"/>
      <c r="D87" s="8" t="n"/>
      <c r="E87" s="8" t="n"/>
      <c r="F87" s="9" t="n"/>
      <c r="G87" s="10" t="n"/>
      <c r="H87" s="11">
        <f>IF(F87="","",F87*G87)</f>
        <v/>
      </c>
    </row>
    <row r="88">
      <c r="A88" s="20" t="n"/>
      <c r="B88" s="8" t="n"/>
      <c r="C88" s="8" t="n"/>
      <c r="D88" s="8" t="n"/>
      <c r="E88" s="8" t="n"/>
      <c r="F88" s="9" t="n"/>
      <c r="G88" s="10" t="n"/>
      <c r="H88" s="11">
        <f>IF(F88="","",F88*G88)</f>
        <v/>
      </c>
    </row>
    <row r="89">
      <c r="A89" s="20" t="n"/>
      <c r="B89" s="8" t="n"/>
      <c r="C89" s="8" t="n"/>
      <c r="D89" s="8" t="n"/>
      <c r="E89" s="8" t="n"/>
      <c r="F89" s="9" t="n"/>
      <c r="G89" s="10" t="n"/>
      <c r="H89" s="11">
        <f>IF(F89="","",F89*G89)</f>
        <v/>
      </c>
    </row>
    <row r="90">
      <c r="A90" s="20" t="n"/>
      <c r="B90" s="8" t="n"/>
      <c r="C90" s="8" t="n"/>
      <c r="D90" s="8" t="n"/>
      <c r="E90" s="8" t="n"/>
      <c r="F90" s="9" t="n"/>
      <c r="G90" s="10" t="n"/>
      <c r="H90" s="11">
        <f>IF(F90="","",F90*G90)</f>
        <v/>
      </c>
    </row>
    <row r="91">
      <c r="A91" s="20" t="n"/>
      <c r="B91" s="8" t="n"/>
      <c r="C91" s="8" t="n"/>
      <c r="D91" s="8" t="n"/>
      <c r="E91" s="8" t="n"/>
      <c r="F91" s="9" t="n"/>
      <c r="G91" s="10" t="n"/>
      <c r="H91" s="11">
        <f>IF(F91="","",F91*G91)</f>
        <v/>
      </c>
    </row>
    <row r="92">
      <c r="A92" s="20" t="n"/>
      <c r="B92" s="8" t="n"/>
      <c r="C92" s="8" t="n"/>
      <c r="D92" s="8" t="n"/>
      <c r="E92" s="8" t="n"/>
      <c r="F92" s="9" t="n"/>
      <c r="G92" s="10" t="n"/>
      <c r="H92" s="11">
        <f>IF(F92="","",F92*G92)</f>
        <v/>
      </c>
    </row>
    <row r="93">
      <c r="A93" s="20" t="n"/>
      <c r="B93" s="8" t="n"/>
      <c r="C93" s="8" t="n"/>
      <c r="D93" s="8" t="n"/>
      <c r="E93" s="8" t="n"/>
      <c r="F93" s="9" t="n"/>
      <c r="G93" s="10" t="n"/>
      <c r="H93" s="11">
        <f>IF(F93="","",F93*G93)</f>
        <v/>
      </c>
    </row>
    <row r="94">
      <c r="A94" s="20" t="n"/>
      <c r="B94" s="8" t="n"/>
      <c r="C94" s="8" t="n"/>
      <c r="D94" s="8" t="n"/>
      <c r="E94" s="8" t="n"/>
      <c r="F94" s="9" t="n"/>
      <c r="G94" s="10" t="n"/>
      <c r="H94" s="11">
        <f>IF(F94="","",F94*G94)</f>
        <v/>
      </c>
    </row>
    <row r="95">
      <c r="A95" s="20" t="n"/>
      <c r="B95" s="8" t="n"/>
      <c r="C95" s="8" t="n"/>
      <c r="D95" s="8" t="n"/>
      <c r="E95" s="8" t="n"/>
      <c r="F95" s="9" t="n"/>
      <c r="G95" s="10" t="n"/>
      <c r="H95" s="11">
        <f>IF(F95="","",F95*G95)</f>
        <v/>
      </c>
    </row>
    <row r="96">
      <c r="A96" s="20" t="n"/>
      <c r="B96" s="8" t="n"/>
      <c r="C96" s="8" t="n"/>
      <c r="D96" s="8" t="n"/>
      <c r="E96" s="8" t="n"/>
      <c r="F96" s="9" t="n"/>
      <c r="G96" s="10" t="n"/>
      <c r="H96" s="11">
        <f>IF(F96="","",F96*G96)</f>
        <v/>
      </c>
    </row>
    <row r="97">
      <c r="A97" s="20" t="n"/>
      <c r="B97" s="8" t="n"/>
      <c r="C97" s="8" t="n"/>
      <c r="D97" s="8" t="n"/>
      <c r="E97" s="8" t="n"/>
      <c r="F97" s="9" t="n"/>
      <c r="G97" s="10" t="n"/>
      <c r="H97" s="11">
        <f>IF(F97="","",F97*G97)</f>
        <v/>
      </c>
    </row>
    <row r="98">
      <c r="A98" s="20" t="n"/>
      <c r="B98" s="8" t="n"/>
      <c r="C98" s="8" t="n"/>
      <c r="D98" s="8" t="n"/>
      <c r="E98" s="8" t="n"/>
      <c r="F98" s="9" t="n"/>
      <c r="G98" s="10" t="n"/>
      <c r="H98" s="11">
        <f>IF(F98="","",F98*G98)</f>
        <v/>
      </c>
    </row>
    <row r="99">
      <c r="A99" s="20" t="n"/>
      <c r="B99" s="8" t="n"/>
      <c r="C99" s="8" t="n"/>
      <c r="D99" s="8" t="n"/>
      <c r="E99" s="8" t="n"/>
      <c r="F99" s="9" t="n"/>
      <c r="G99" s="10" t="n"/>
      <c r="H99" s="11">
        <f>IF(F99="","",F99*G99)</f>
        <v/>
      </c>
    </row>
    <row r="100">
      <c r="A100" s="20" t="n"/>
      <c r="B100" s="8" t="n"/>
      <c r="C100" s="8" t="n"/>
      <c r="D100" s="8" t="n"/>
      <c r="E100" s="8" t="n"/>
      <c r="F100" s="9" t="n"/>
      <c r="G100" s="10" t="n"/>
      <c r="H100" s="11">
        <f>IF(F100="","",F100*G100)</f>
        <v/>
      </c>
    </row>
    <row r="101">
      <c r="A101" s="20" t="n"/>
      <c r="B101" s="8" t="n"/>
      <c r="C101" s="8" t="n"/>
      <c r="D101" s="8" t="n"/>
      <c r="E101" s="8" t="n"/>
      <c r="F101" s="9" t="n"/>
      <c r="G101" s="10" t="n"/>
      <c r="H101" s="11">
        <f>IF(F101="","",F101*G101)</f>
        <v/>
      </c>
    </row>
    <row r="102">
      <c r="A102" s="20" t="n"/>
      <c r="B102" s="8" t="n"/>
      <c r="C102" s="8" t="n"/>
      <c r="D102" s="8" t="n"/>
      <c r="E102" s="8" t="n"/>
      <c r="F102" s="9" t="n"/>
      <c r="G102" s="10" t="n"/>
      <c r="H102" s="11">
        <f>IF(F102="","",F102*G102)</f>
        <v/>
      </c>
    </row>
    <row r="103">
      <c r="A103" s="20" t="n"/>
      <c r="B103" s="8" t="n"/>
      <c r="C103" s="8" t="n"/>
      <c r="D103" s="8" t="n"/>
      <c r="E103" s="8" t="n"/>
      <c r="F103" s="9" t="n"/>
      <c r="G103" s="10" t="n"/>
      <c r="H103" s="11">
        <f>IF(F103="","",F103*G103)</f>
        <v/>
      </c>
    </row>
    <row r="104">
      <c r="A104" s="20" t="n"/>
      <c r="B104" s="8" t="n"/>
      <c r="C104" s="8" t="n"/>
      <c r="D104" s="8" t="n"/>
      <c r="E104" s="8" t="n"/>
      <c r="F104" s="9" t="n"/>
      <c r="G104" s="10" t="n"/>
      <c r="H104" s="11">
        <f>IF(F104="","",F104*G104)</f>
        <v/>
      </c>
    </row>
    <row r="105">
      <c r="A105" s="20" t="n"/>
      <c r="B105" s="8" t="n"/>
      <c r="C105" s="8" t="n"/>
      <c r="D105" s="8" t="n"/>
      <c r="E105" s="8" t="n"/>
      <c r="F105" s="9" t="n"/>
      <c r="G105" s="10" t="n"/>
      <c r="H105" s="11">
        <f>IF(F105="","",F105*G105)</f>
        <v/>
      </c>
    </row>
    <row r="106">
      <c r="A106" s="20" t="n"/>
      <c r="B106" s="8" t="n"/>
      <c r="C106" s="8" t="n"/>
      <c r="D106" s="8" t="n"/>
      <c r="E106" s="8" t="n"/>
      <c r="F106" s="9" t="n"/>
      <c r="G106" s="10" t="n"/>
      <c r="H106" s="11">
        <f>IF(F106="","",F106*G106)</f>
        <v/>
      </c>
    </row>
    <row r="107">
      <c r="A107" s="20" t="n"/>
      <c r="B107" s="8" t="n"/>
      <c r="C107" s="8" t="n"/>
      <c r="D107" s="8" t="n"/>
      <c r="E107" s="8" t="n"/>
      <c r="F107" s="9" t="n"/>
      <c r="G107" s="10" t="n"/>
      <c r="H107" s="11">
        <f>IF(F107="","",F107*G107)</f>
        <v/>
      </c>
    </row>
    <row r="108">
      <c r="A108" s="20" t="n"/>
      <c r="B108" s="8" t="n"/>
      <c r="C108" s="8" t="n"/>
      <c r="D108" s="8" t="n"/>
      <c r="E108" s="8" t="n"/>
      <c r="F108" s="9" t="n"/>
      <c r="G108" s="10" t="n"/>
      <c r="H108" s="11">
        <f>IF(F108="","",F108*G108)</f>
        <v/>
      </c>
    </row>
    <row r="109">
      <c r="A109" s="20" t="n"/>
      <c r="B109" s="8" t="n"/>
      <c r="C109" s="8" t="n"/>
      <c r="D109" s="8" t="n"/>
      <c r="E109" s="8" t="n"/>
      <c r="F109" s="9" t="n"/>
      <c r="G109" s="10" t="n"/>
      <c r="H109" s="11">
        <f>IF(F109="","",F109*G109)</f>
        <v/>
      </c>
    </row>
    <row r="110">
      <c r="A110" s="20" t="n"/>
      <c r="B110" s="8" t="n"/>
      <c r="C110" s="8" t="n"/>
      <c r="D110" s="8" t="n"/>
      <c r="E110" s="8" t="n"/>
      <c r="F110" s="9" t="n"/>
      <c r="G110" s="10" t="n"/>
      <c r="H110" s="11">
        <f>IF(F110="","",F110*G110)</f>
        <v/>
      </c>
    </row>
    <row r="111">
      <c r="A111" s="20" t="n"/>
      <c r="B111" s="8" t="n"/>
      <c r="C111" s="8" t="n"/>
      <c r="D111" s="8" t="n"/>
      <c r="E111" s="8" t="n"/>
      <c r="F111" s="9" t="n"/>
      <c r="G111" s="10" t="n"/>
      <c r="H111" s="11">
        <f>IF(F111="","",F111*G111)</f>
        <v/>
      </c>
    </row>
    <row r="112">
      <c r="A112" s="20" t="n"/>
      <c r="B112" s="8" t="n"/>
      <c r="C112" s="8" t="n"/>
      <c r="D112" s="8" t="n"/>
      <c r="E112" s="8" t="n"/>
      <c r="F112" s="9" t="n"/>
      <c r="G112" s="10" t="n"/>
      <c r="H112" s="11">
        <f>IF(F112="","",F112*G112)</f>
        <v/>
      </c>
    </row>
    <row r="113">
      <c r="A113" s="20" t="n"/>
      <c r="B113" s="8" t="n"/>
      <c r="C113" s="8" t="n"/>
      <c r="D113" s="8" t="n"/>
      <c r="E113" s="8" t="n"/>
      <c r="F113" s="9" t="n"/>
      <c r="G113" s="10" t="n"/>
      <c r="H113" s="11">
        <f>IF(F113="","",F113*G113)</f>
        <v/>
      </c>
    </row>
    <row r="114">
      <c r="A114" s="20" t="n"/>
      <c r="B114" s="8" t="n"/>
      <c r="C114" s="8" t="n"/>
      <c r="D114" s="8" t="n"/>
      <c r="E114" s="8" t="n"/>
      <c r="F114" s="9" t="n"/>
      <c r="G114" s="10" t="n"/>
      <c r="H114" s="11">
        <f>IF(F114="","",F114*G114)</f>
        <v/>
      </c>
    </row>
    <row r="115">
      <c r="A115" s="20" t="n"/>
      <c r="B115" s="8" t="n"/>
      <c r="C115" s="8" t="n"/>
      <c r="D115" s="8" t="n"/>
      <c r="E115" s="8" t="n"/>
      <c r="F115" s="9" t="n"/>
      <c r="G115" s="10" t="n"/>
      <c r="H115" s="11">
        <f>IF(F115="","",F115*G115)</f>
        <v/>
      </c>
    </row>
    <row r="116">
      <c r="A116" s="20" t="n"/>
      <c r="B116" s="8" t="n"/>
      <c r="C116" s="8" t="n"/>
      <c r="D116" s="8" t="n"/>
      <c r="E116" s="8" t="n"/>
      <c r="F116" s="9" t="n"/>
      <c r="G116" s="10" t="n"/>
      <c r="H116" s="11">
        <f>IF(F116="","",F116*G116)</f>
        <v/>
      </c>
    </row>
    <row r="117">
      <c r="A117" s="20" t="n"/>
      <c r="B117" s="8" t="n"/>
      <c r="C117" s="8" t="n"/>
      <c r="D117" s="8" t="n"/>
      <c r="E117" s="8" t="n"/>
      <c r="F117" s="9" t="n"/>
      <c r="G117" s="10" t="n"/>
      <c r="H117" s="11">
        <f>IF(F117="","",F117*G117)</f>
        <v/>
      </c>
    </row>
    <row r="118">
      <c r="A118" s="20" t="n"/>
      <c r="B118" s="8" t="n"/>
      <c r="C118" s="8" t="n"/>
      <c r="D118" s="8" t="n"/>
      <c r="E118" s="8" t="n"/>
      <c r="F118" s="9" t="n"/>
      <c r="G118" s="10" t="n"/>
      <c r="H118" s="11">
        <f>IF(F118="","",F118*G118)</f>
        <v/>
      </c>
    </row>
    <row r="119">
      <c r="A119" s="20" t="n"/>
      <c r="B119" s="8" t="n"/>
      <c r="C119" s="8" t="n"/>
      <c r="D119" s="8" t="n"/>
      <c r="E119" s="8" t="n"/>
      <c r="F119" s="9" t="n"/>
      <c r="G119" s="10" t="n"/>
      <c r="H119" s="11">
        <f>IF(F119="","",F119*G119)</f>
        <v/>
      </c>
    </row>
    <row r="120">
      <c r="A120" s="20" t="n"/>
      <c r="B120" s="8" t="n"/>
      <c r="C120" s="8" t="n"/>
      <c r="D120" s="8" t="n"/>
      <c r="E120" s="8" t="n"/>
      <c r="F120" s="9" t="n"/>
      <c r="G120" s="10" t="n"/>
      <c r="H120" s="11">
        <f>IF(F120="","",F120*G120)</f>
        <v/>
      </c>
    </row>
    <row r="121">
      <c r="A121" s="20" t="n"/>
      <c r="B121" s="8" t="n"/>
      <c r="C121" s="8" t="n"/>
      <c r="D121" s="8" t="n"/>
      <c r="E121" s="8" t="n"/>
      <c r="F121" s="9" t="n"/>
      <c r="G121" s="10" t="n"/>
      <c r="H121" s="11">
        <f>IF(F121="","",F121*G121)</f>
        <v/>
      </c>
    </row>
    <row r="122">
      <c r="A122" s="20" t="n"/>
      <c r="B122" s="8" t="n"/>
      <c r="C122" s="8" t="n"/>
      <c r="D122" s="8" t="n"/>
      <c r="E122" s="8" t="n"/>
      <c r="F122" s="9" t="n"/>
      <c r="G122" s="10" t="n"/>
      <c r="H122" s="11">
        <f>IF(F122="","",F122*G122)</f>
        <v/>
      </c>
    </row>
    <row r="123">
      <c r="A123" s="20" t="n"/>
      <c r="B123" s="8" t="n"/>
      <c r="C123" s="8" t="n"/>
      <c r="D123" s="8" t="n"/>
      <c r="E123" s="8" t="n"/>
      <c r="F123" s="9" t="n"/>
      <c r="G123" s="10" t="n"/>
      <c r="H123" s="11">
        <f>IF(F123="","",F123*G123)</f>
        <v/>
      </c>
    </row>
    <row r="124">
      <c r="A124" s="20" t="n"/>
      <c r="B124" s="8" t="n"/>
      <c r="C124" s="8" t="n"/>
      <c r="D124" s="8" t="n"/>
      <c r="E124" s="8" t="n"/>
      <c r="F124" s="9" t="n"/>
      <c r="G124" s="10" t="n"/>
      <c r="H124" s="11">
        <f>IF(F124="","",F124*G124)</f>
        <v/>
      </c>
    </row>
    <row r="125">
      <c r="A125" s="20" t="n"/>
      <c r="B125" s="8" t="n"/>
      <c r="C125" s="8" t="n"/>
      <c r="D125" s="8" t="n"/>
      <c r="E125" s="8" t="n"/>
      <c r="F125" s="9" t="n"/>
      <c r="G125" s="10" t="n"/>
      <c r="H125" s="11">
        <f>IF(F125="","",F125*G125)</f>
        <v/>
      </c>
    </row>
    <row r="126">
      <c r="A126" s="20" t="n"/>
      <c r="B126" s="8" t="n"/>
      <c r="C126" s="8" t="n"/>
      <c r="D126" s="8" t="n"/>
      <c r="E126" s="8" t="n"/>
      <c r="F126" s="9" t="n"/>
      <c r="G126" s="10" t="n"/>
      <c r="H126" s="11">
        <f>IF(F126="","",F126*G126)</f>
        <v/>
      </c>
    </row>
    <row r="127">
      <c r="A127" s="20" t="n"/>
      <c r="B127" s="8" t="n"/>
      <c r="C127" s="8" t="n"/>
      <c r="D127" s="8" t="n"/>
      <c r="E127" s="8" t="n"/>
      <c r="F127" s="9" t="n"/>
      <c r="G127" s="10" t="n"/>
      <c r="H127" s="11">
        <f>IF(F127="","",F127*G127)</f>
        <v/>
      </c>
    </row>
    <row r="128">
      <c r="A128" s="20" t="n"/>
      <c r="B128" s="8" t="n"/>
      <c r="C128" s="8" t="n"/>
      <c r="D128" s="8" t="n"/>
      <c r="E128" s="8" t="n"/>
      <c r="F128" s="9" t="n"/>
      <c r="G128" s="10" t="n"/>
      <c r="H128" s="11">
        <f>IF(F128="","",F128*G128)</f>
        <v/>
      </c>
    </row>
    <row r="129">
      <c r="A129" s="20" t="n"/>
      <c r="B129" s="8" t="n"/>
      <c r="C129" s="8" t="n"/>
      <c r="D129" s="8" t="n"/>
      <c r="E129" s="8" t="n"/>
      <c r="F129" s="9" t="n"/>
      <c r="G129" s="10" t="n"/>
      <c r="H129" s="11">
        <f>IF(F129="","",F129*G129)</f>
        <v/>
      </c>
    </row>
    <row r="130">
      <c r="A130" s="20" t="n"/>
      <c r="B130" s="8" t="n"/>
      <c r="C130" s="8" t="n"/>
      <c r="D130" s="8" t="n"/>
      <c r="E130" s="8" t="n"/>
      <c r="F130" s="9" t="n"/>
      <c r="G130" s="10" t="n"/>
      <c r="H130" s="11">
        <f>IF(F130="","",F130*G130)</f>
        <v/>
      </c>
    </row>
    <row r="131">
      <c r="A131" s="20" t="n"/>
      <c r="B131" s="8" t="n"/>
      <c r="C131" s="8" t="n"/>
      <c r="D131" s="8" t="n"/>
      <c r="E131" s="8" t="n"/>
      <c r="F131" s="9" t="n"/>
      <c r="G131" s="10" t="n"/>
      <c r="H131" s="11">
        <f>IF(F131="","",F131*G131)</f>
        <v/>
      </c>
    </row>
    <row r="132">
      <c r="A132" s="20" t="n"/>
      <c r="B132" s="8" t="n"/>
      <c r="C132" s="8" t="n"/>
      <c r="D132" s="8" t="n"/>
      <c r="E132" s="8" t="n"/>
      <c r="F132" s="9" t="n"/>
      <c r="G132" s="10" t="n"/>
      <c r="H132" s="11">
        <f>IF(F132="","",F132*G132)</f>
        <v/>
      </c>
    </row>
    <row r="133">
      <c r="A133" s="20" t="n"/>
      <c r="B133" s="8" t="n"/>
      <c r="C133" s="8" t="n"/>
      <c r="D133" s="8" t="n"/>
      <c r="E133" s="8" t="n"/>
      <c r="F133" s="9" t="n"/>
      <c r="G133" s="10" t="n"/>
      <c r="H133" s="11">
        <f>IF(F133="","",F133*G133)</f>
        <v/>
      </c>
    </row>
    <row r="134">
      <c r="A134" s="20" t="n"/>
      <c r="B134" s="8" t="n"/>
      <c r="C134" s="8" t="n"/>
      <c r="D134" s="8" t="n"/>
      <c r="E134" s="8" t="n"/>
      <c r="F134" s="9" t="n"/>
      <c r="G134" s="10" t="n"/>
      <c r="H134" s="11">
        <f>IF(F134="","",F134*G134)</f>
        <v/>
      </c>
    </row>
    <row r="135">
      <c r="A135" s="20" t="n"/>
      <c r="B135" s="8" t="n"/>
      <c r="C135" s="8" t="n"/>
      <c r="D135" s="8" t="n"/>
      <c r="E135" s="8" t="n"/>
      <c r="F135" s="9" t="n"/>
      <c r="G135" s="10" t="n"/>
      <c r="H135" s="11">
        <f>IF(F135="","",F135*G135)</f>
        <v/>
      </c>
    </row>
    <row r="136">
      <c r="A136" s="20" t="n"/>
      <c r="B136" s="8" t="n"/>
      <c r="C136" s="8" t="n"/>
      <c r="D136" s="8" t="n"/>
      <c r="E136" s="8" t="n"/>
      <c r="F136" s="9" t="n"/>
      <c r="G136" s="10" t="n"/>
      <c r="H136" s="11">
        <f>IF(F136="","",F136*G136)</f>
        <v/>
      </c>
    </row>
    <row r="137">
      <c r="A137" s="20" t="n"/>
      <c r="B137" s="8" t="n"/>
      <c r="C137" s="8" t="n"/>
      <c r="D137" s="8" t="n"/>
      <c r="E137" s="8" t="n"/>
      <c r="F137" s="9" t="n"/>
      <c r="G137" s="10" t="n"/>
      <c r="H137" s="11">
        <f>IF(F137="","",F137*G137)</f>
        <v/>
      </c>
    </row>
    <row r="138">
      <c r="A138" s="20" t="n"/>
      <c r="B138" s="8" t="n"/>
      <c r="C138" s="8" t="n"/>
      <c r="D138" s="8" t="n"/>
      <c r="E138" s="8" t="n"/>
      <c r="F138" s="9" t="n"/>
      <c r="G138" s="10" t="n"/>
      <c r="H138" s="11">
        <f>IF(F138="","",F138*G138)</f>
        <v/>
      </c>
    </row>
    <row r="139">
      <c r="A139" s="20" t="n"/>
      <c r="B139" s="8" t="n"/>
      <c r="C139" s="8" t="n"/>
      <c r="D139" s="8" t="n"/>
      <c r="E139" s="8" t="n"/>
      <c r="F139" s="9" t="n"/>
      <c r="G139" s="10" t="n"/>
      <c r="H139" s="11">
        <f>IF(F139="","",F139*G139)</f>
        <v/>
      </c>
    </row>
    <row r="140">
      <c r="A140" s="20" t="n"/>
      <c r="B140" s="8" t="n"/>
      <c r="C140" s="8" t="n"/>
      <c r="D140" s="8" t="n"/>
      <c r="E140" s="8" t="n"/>
      <c r="F140" s="9" t="n"/>
      <c r="G140" s="10" t="n"/>
      <c r="H140" s="11">
        <f>IF(F140="","",F140*G140)</f>
        <v/>
      </c>
    </row>
    <row r="141">
      <c r="A141" s="20" t="n"/>
      <c r="B141" s="8" t="n"/>
      <c r="C141" s="8" t="n"/>
      <c r="D141" s="8" t="n"/>
      <c r="E141" s="8" t="n"/>
      <c r="F141" s="9" t="n"/>
      <c r="G141" s="10" t="n"/>
      <c r="H141" s="11">
        <f>IF(F141="","",F141*G141)</f>
        <v/>
      </c>
    </row>
    <row r="142">
      <c r="A142" s="20" t="n"/>
      <c r="B142" s="8" t="n"/>
      <c r="C142" s="8" t="n"/>
      <c r="D142" s="8" t="n"/>
      <c r="E142" s="8" t="n"/>
      <c r="F142" s="9" t="n"/>
      <c r="G142" s="10" t="n"/>
      <c r="H142" s="11">
        <f>IF(F142="","",F142*G142)</f>
        <v/>
      </c>
    </row>
    <row r="143">
      <c r="A143" s="20" t="n"/>
      <c r="B143" s="8" t="n"/>
      <c r="C143" s="8" t="n"/>
      <c r="D143" s="8" t="n"/>
      <c r="E143" s="8" t="n"/>
      <c r="F143" s="9" t="n"/>
      <c r="G143" s="10" t="n"/>
      <c r="H143" s="11">
        <f>IF(F143="","",F143*G143)</f>
        <v/>
      </c>
    </row>
    <row r="144">
      <c r="A144" s="20" t="n"/>
      <c r="B144" s="8" t="n"/>
      <c r="C144" s="8" t="n"/>
      <c r="D144" s="8" t="n"/>
      <c r="E144" s="8" t="n"/>
      <c r="F144" s="9" t="n"/>
      <c r="G144" s="10" t="n"/>
      <c r="H144" s="11">
        <f>IF(F144="","",F144*G144)</f>
        <v/>
      </c>
    </row>
    <row r="145">
      <c r="A145" s="20" t="n"/>
      <c r="B145" s="8" t="n"/>
      <c r="C145" s="8" t="n"/>
      <c r="D145" s="8" t="n"/>
      <c r="E145" s="8" t="n"/>
      <c r="F145" s="9" t="n"/>
      <c r="G145" s="10" t="n"/>
      <c r="H145" s="11">
        <f>IF(F145="","",F145*G145)</f>
        <v/>
      </c>
    </row>
    <row r="146">
      <c r="A146" s="20" t="n"/>
      <c r="B146" s="8" t="n"/>
      <c r="C146" s="8" t="n"/>
      <c r="D146" s="8" t="n"/>
      <c r="E146" s="8" t="n"/>
      <c r="F146" s="9" t="n"/>
      <c r="G146" s="10" t="n"/>
      <c r="H146" s="11">
        <f>IF(F146="","",F146*G146)</f>
        <v/>
      </c>
    </row>
    <row r="147">
      <c r="A147" s="20" t="n"/>
      <c r="B147" s="8" t="n"/>
      <c r="C147" s="8" t="n"/>
      <c r="D147" s="8" t="n"/>
      <c r="E147" s="8" t="n"/>
      <c r="F147" s="9" t="n"/>
      <c r="G147" s="10" t="n"/>
      <c r="H147" s="11">
        <f>IF(F147="","",F147*G147)</f>
        <v/>
      </c>
    </row>
    <row r="148">
      <c r="A148" s="20" t="n"/>
      <c r="B148" s="8" t="n"/>
      <c r="C148" s="8" t="n"/>
      <c r="D148" s="8" t="n"/>
      <c r="E148" s="8" t="n"/>
      <c r="F148" s="9" t="n"/>
      <c r="G148" s="10" t="n"/>
      <c r="H148" s="11">
        <f>IF(F148="","",F148*G148)</f>
        <v/>
      </c>
    </row>
    <row r="149">
      <c r="A149" s="20" t="n"/>
      <c r="B149" s="8" t="n"/>
      <c r="C149" s="8" t="n"/>
      <c r="D149" s="8" t="n"/>
      <c r="E149" s="8" t="n"/>
      <c r="F149" s="9" t="n"/>
      <c r="G149" s="10" t="n"/>
      <c r="H149" s="11">
        <f>IF(F149="","",F149*G149)</f>
        <v/>
      </c>
    </row>
    <row r="150">
      <c r="A150" s="20" t="n"/>
      <c r="B150" s="8" t="n"/>
      <c r="C150" s="8" t="n"/>
      <c r="D150" s="8" t="n"/>
      <c r="E150" s="8" t="n"/>
      <c r="F150" s="9" t="n"/>
      <c r="G150" s="10" t="n"/>
      <c r="H150" s="11">
        <f>IF(F150="","",F150*G150)</f>
        <v/>
      </c>
    </row>
    <row r="151">
      <c r="A151" s="20" t="n"/>
      <c r="B151" s="8" t="n"/>
      <c r="C151" s="8" t="n"/>
      <c r="D151" s="8" t="n"/>
      <c r="E151" s="8" t="n"/>
      <c r="F151" s="9" t="n"/>
      <c r="G151" s="10" t="n"/>
      <c r="H151" s="11">
        <f>IF(F151="","",F151*G151)</f>
        <v/>
      </c>
    </row>
    <row r="152">
      <c r="A152" s="20" t="n"/>
      <c r="B152" s="8" t="n"/>
      <c r="C152" s="8" t="n"/>
      <c r="D152" s="8" t="n"/>
      <c r="E152" s="8" t="n"/>
      <c r="F152" s="9" t="n"/>
      <c r="G152" s="10" t="n"/>
      <c r="H152" s="11">
        <f>IF(F152="","",F152*G152)</f>
        <v/>
      </c>
    </row>
    <row r="153">
      <c r="A153" s="20" t="n"/>
      <c r="B153" s="8" t="n"/>
      <c r="C153" s="8" t="n"/>
      <c r="D153" s="8" t="n"/>
      <c r="E153" s="8" t="n"/>
      <c r="F153" s="9" t="n"/>
      <c r="G153" s="10" t="n"/>
      <c r="H153" s="11">
        <f>IF(F153="","",F153*G153)</f>
        <v/>
      </c>
    </row>
    <row r="154">
      <c r="A154" s="20" t="n"/>
      <c r="B154" s="8" t="n"/>
      <c r="C154" s="8" t="n"/>
      <c r="D154" s="8" t="n"/>
      <c r="E154" s="8" t="n"/>
      <c r="F154" s="9" t="n"/>
      <c r="G154" s="10" t="n"/>
      <c r="H154" s="11">
        <f>IF(F154="","",F154*G154)</f>
        <v/>
      </c>
    </row>
    <row r="155">
      <c r="A155" s="20" t="n"/>
      <c r="B155" s="8" t="n"/>
      <c r="C155" s="8" t="n"/>
      <c r="D155" s="8" t="n"/>
      <c r="E155" s="8" t="n"/>
      <c r="F155" s="9" t="n"/>
      <c r="G155" s="10" t="n"/>
      <c r="H155" s="11">
        <f>IF(F155="","",F155*G155)</f>
        <v/>
      </c>
    </row>
    <row r="156">
      <c r="A156" s="20" t="n"/>
      <c r="B156" s="8" t="n"/>
      <c r="C156" s="8" t="n"/>
      <c r="D156" s="8" t="n"/>
      <c r="E156" s="8" t="n"/>
      <c r="F156" s="9" t="n"/>
      <c r="G156" s="10" t="n"/>
      <c r="H156" s="11">
        <f>IF(F156="","",F156*G156)</f>
        <v/>
      </c>
    </row>
    <row r="157">
      <c r="A157" s="20" t="n"/>
      <c r="B157" s="8" t="n"/>
      <c r="C157" s="8" t="n"/>
      <c r="D157" s="8" t="n"/>
      <c r="E157" s="8" t="n"/>
      <c r="F157" s="9" t="n"/>
      <c r="G157" s="10" t="n"/>
      <c r="H157" s="11">
        <f>IF(F157="","",F157*G157)</f>
        <v/>
      </c>
    </row>
    <row r="158">
      <c r="A158" s="20" t="n"/>
      <c r="B158" s="8" t="n"/>
      <c r="C158" s="8" t="n"/>
      <c r="D158" s="8" t="n"/>
      <c r="E158" s="8" t="n"/>
      <c r="F158" s="9" t="n"/>
      <c r="G158" s="10" t="n"/>
      <c r="H158" s="11">
        <f>IF(F158="","",F158*G158)</f>
        <v/>
      </c>
    </row>
    <row r="159">
      <c r="A159" s="20" t="n"/>
      <c r="B159" s="8" t="n"/>
      <c r="C159" s="8" t="n"/>
      <c r="D159" s="8" t="n"/>
      <c r="E159" s="8" t="n"/>
      <c r="F159" s="9" t="n"/>
      <c r="G159" s="10" t="n"/>
      <c r="H159" s="11">
        <f>IF(F159="","",F159*G159)</f>
        <v/>
      </c>
    </row>
    <row r="160">
      <c r="A160" s="20" t="n"/>
      <c r="B160" s="8" t="n"/>
      <c r="C160" s="8" t="n"/>
      <c r="D160" s="8" t="n"/>
      <c r="E160" s="8" t="n"/>
      <c r="F160" s="9" t="n"/>
      <c r="G160" s="10" t="n"/>
      <c r="H160" s="11">
        <f>IF(F160="","",F160*G160)</f>
        <v/>
      </c>
    </row>
    <row r="161">
      <c r="A161" s="20" t="n"/>
      <c r="B161" s="8" t="n"/>
      <c r="C161" s="8" t="n"/>
      <c r="D161" s="8" t="n"/>
      <c r="E161" s="8" t="n"/>
      <c r="F161" s="9" t="n"/>
      <c r="G161" s="10" t="n"/>
      <c r="H161" s="11">
        <f>IF(F161="","",F161*G161)</f>
        <v/>
      </c>
    </row>
    <row r="162">
      <c r="A162" s="20" t="n"/>
      <c r="B162" s="8" t="n"/>
      <c r="C162" s="8" t="n"/>
      <c r="D162" s="8" t="n"/>
      <c r="E162" s="8" t="n"/>
      <c r="F162" s="9" t="n"/>
      <c r="G162" s="10" t="n"/>
      <c r="H162" s="11">
        <f>IF(F162="","",F162*G162)</f>
        <v/>
      </c>
    </row>
    <row r="163">
      <c r="A163" s="20" t="n"/>
      <c r="B163" s="8" t="n"/>
      <c r="C163" s="8" t="n"/>
      <c r="D163" s="8" t="n"/>
      <c r="E163" s="8" t="n"/>
      <c r="F163" s="9" t="n"/>
      <c r="G163" s="10" t="n"/>
      <c r="H163" s="11">
        <f>IF(F163="","",F163*G163)</f>
        <v/>
      </c>
    </row>
    <row r="164">
      <c r="A164" s="20" t="n"/>
      <c r="B164" s="8" t="n"/>
      <c r="C164" s="8" t="n"/>
      <c r="D164" s="8" t="n"/>
      <c r="E164" s="8" t="n"/>
      <c r="F164" s="9" t="n"/>
      <c r="G164" s="10" t="n"/>
      <c r="H164" s="11">
        <f>IF(F164="","",F164*G164)</f>
        <v/>
      </c>
    </row>
    <row r="165">
      <c r="A165" s="20" t="n"/>
      <c r="B165" s="8" t="n"/>
      <c r="C165" s="8" t="n"/>
      <c r="D165" s="8" t="n"/>
      <c r="E165" s="8" t="n"/>
      <c r="F165" s="9" t="n"/>
      <c r="G165" s="10" t="n"/>
      <c r="H165" s="11">
        <f>IF(F165="","",F165*G165)</f>
        <v/>
      </c>
    </row>
    <row r="166">
      <c r="A166" s="20" t="n"/>
      <c r="B166" s="8" t="n"/>
      <c r="C166" s="8" t="n"/>
      <c r="D166" s="8" t="n"/>
      <c r="E166" s="8" t="n"/>
      <c r="F166" s="9" t="n"/>
      <c r="G166" s="10" t="n"/>
      <c r="H166" s="11">
        <f>IF(F166="","",F166*G166)</f>
        <v/>
      </c>
    </row>
    <row r="167">
      <c r="A167" s="20" t="n"/>
      <c r="B167" s="8" t="n"/>
      <c r="C167" s="8" t="n"/>
      <c r="D167" s="8" t="n"/>
      <c r="E167" s="8" t="n"/>
      <c r="F167" s="9" t="n"/>
      <c r="G167" s="10" t="n"/>
      <c r="H167" s="11">
        <f>IF(F167="","",F167*G167)</f>
        <v/>
      </c>
    </row>
    <row r="168">
      <c r="A168" s="20" t="n"/>
      <c r="B168" s="8" t="n"/>
      <c r="C168" s="8" t="n"/>
      <c r="D168" s="8" t="n"/>
      <c r="E168" s="8" t="n"/>
      <c r="F168" s="9" t="n"/>
      <c r="G168" s="10" t="n"/>
      <c r="H168" s="11">
        <f>IF(F168="","",F168*G168)</f>
        <v/>
      </c>
    </row>
    <row r="169">
      <c r="A169" s="20" t="n"/>
      <c r="B169" s="8" t="n"/>
      <c r="C169" s="8" t="n"/>
      <c r="D169" s="8" t="n"/>
      <c r="E169" s="8" t="n"/>
      <c r="F169" s="9" t="n"/>
      <c r="G169" s="10" t="n"/>
      <c r="H169" s="11">
        <f>IF(F169="","",F169*G169)</f>
        <v/>
      </c>
    </row>
    <row r="170">
      <c r="A170" s="20" t="n"/>
      <c r="B170" s="8" t="n"/>
      <c r="C170" s="8" t="n"/>
      <c r="D170" s="8" t="n"/>
      <c r="E170" s="8" t="n"/>
      <c r="F170" s="9" t="n"/>
      <c r="G170" s="10" t="n"/>
      <c r="H170" s="11">
        <f>IF(F170="","",F170*G170)</f>
        <v/>
      </c>
    </row>
    <row r="171">
      <c r="A171" s="20" t="n"/>
      <c r="B171" s="8" t="n"/>
      <c r="C171" s="8" t="n"/>
      <c r="D171" s="8" t="n"/>
      <c r="E171" s="8" t="n"/>
      <c r="F171" s="9" t="n"/>
      <c r="G171" s="10" t="n"/>
      <c r="H171" s="11">
        <f>IF(F171="","",F171*G171)</f>
        <v/>
      </c>
    </row>
    <row r="172">
      <c r="A172" s="20" t="n"/>
      <c r="B172" s="8" t="n"/>
      <c r="C172" s="8" t="n"/>
      <c r="D172" s="8" t="n"/>
      <c r="E172" s="8" t="n"/>
      <c r="F172" s="9" t="n"/>
      <c r="G172" s="10" t="n"/>
      <c r="H172" s="11">
        <f>IF(F172="","",F172*G172)</f>
        <v/>
      </c>
    </row>
    <row r="173">
      <c r="A173" s="20" t="n"/>
      <c r="B173" s="8" t="n"/>
      <c r="C173" s="8" t="n"/>
      <c r="D173" s="8" t="n"/>
      <c r="E173" s="8" t="n"/>
      <c r="F173" s="9" t="n"/>
      <c r="G173" s="10" t="n"/>
      <c r="H173" s="11">
        <f>IF(F173="","",F173*G173)</f>
        <v/>
      </c>
    </row>
    <row r="174">
      <c r="A174" s="20" t="n"/>
      <c r="B174" s="8" t="n"/>
      <c r="C174" s="8" t="n"/>
      <c r="D174" s="8" t="n"/>
      <c r="E174" s="8" t="n"/>
      <c r="F174" s="9" t="n"/>
      <c r="G174" s="10" t="n"/>
      <c r="H174" s="11">
        <f>IF(F174="","",F174*G174)</f>
        <v/>
      </c>
    </row>
    <row r="175">
      <c r="A175" s="20" t="n"/>
      <c r="B175" s="8" t="n"/>
      <c r="C175" s="8" t="n"/>
      <c r="D175" s="8" t="n"/>
      <c r="E175" s="8" t="n"/>
      <c r="F175" s="9" t="n"/>
      <c r="G175" s="10" t="n"/>
      <c r="H175" s="11">
        <f>IF(F175="","",F175*G175)</f>
        <v/>
      </c>
    </row>
    <row r="176">
      <c r="A176" s="20" t="n"/>
      <c r="B176" s="8" t="n"/>
      <c r="C176" s="8" t="n"/>
      <c r="D176" s="8" t="n"/>
      <c r="E176" s="8" t="n"/>
      <c r="F176" s="9" t="n"/>
      <c r="G176" s="10" t="n"/>
      <c r="H176" s="11">
        <f>IF(F176="","",F176*G176)</f>
        <v/>
      </c>
    </row>
    <row r="177">
      <c r="A177" s="20" t="n"/>
      <c r="B177" s="8" t="n"/>
      <c r="C177" s="8" t="n"/>
      <c r="D177" s="8" t="n"/>
      <c r="E177" s="8" t="n"/>
      <c r="F177" s="9" t="n"/>
      <c r="G177" s="10" t="n"/>
      <c r="H177" s="11">
        <f>IF(F177="","",F177*G177)</f>
        <v/>
      </c>
    </row>
    <row r="178">
      <c r="A178" s="20" t="n"/>
      <c r="B178" s="8" t="n"/>
      <c r="C178" s="8" t="n"/>
      <c r="D178" s="8" t="n"/>
      <c r="E178" s="8" t="n"/>
      <c r="F178" s="9" t="n"/>
      <c r="G178" s="10" t="n"/>
      <c r="H178" s="11">
        <f>IF(F178="","",F178*G178)</f>
        <v/>
      </c>
    </row>
    <row r="179">
      <c r="A179" s="20" t="n"/>
      <c r="B179" s="8" t="n"/>
      <c r="C179" s="8" t="n"/>
      <c r="D179" s="8" t="n"/>
      <c r="E179" s="8" t="n"/>
      <c r="F179" s="9" t="n"/>
      <c r="G179" s="10" t="n"/>
      <c r="H179" s="11">
        <f>IF(F179="","",F179*G179)</f>
        <v/>
      </c>
    </row>
    <row r="180">
      <c r="A180" s="20" t="n"/>
      <c r="B180" s="8" t="n"/>
      <c r="C180" s="8" t="n"/>
      <c r="D180" s="8" t="n"/>
      <c r="E180" s="8" t="n"/>
      <c r="F180" s="9" t="n"/>
      <c r="G180" s="10" t="n"/>
      <c r="H180" s="11">
        <f>IF(F180="","",F180*G180)</f>
        <v/>
      </c>
    </row>
    <row r="181">
      <c r="A181" s="20" t="n"/>
      <c r="B181" s="8" t="n"/>
      <c r="C181" s="8" t="n"/>
      <c r="D181" s="8" t="n"/>
      <c r="E181" s="8" t="n"/>
      <c r="F181" s="9" t="n"/>
      <c r="G181" s="10" t="n"/>
      <c r="H181" s="11">
        <f>IF(F181="","",F181*G181)</f>
        <v/>
      </c>
    </row>
    <row r="182">
      <c r="A182" s="20" t="n"/>
      <c r="B182" s="8" t="n"/>
      <c r="C182" s="8" t="n"/>
      <c r="D182" s="8" t="n"/>
      <c r="E182" s="8" t="n"/>
      <c r="F182" s="9" t="n"/>
      <c r="G182" s="10" t="n"/>
      <c r="H182" s="11">
        <f>IF(F182="","",F182*G182)</f>
        <v/>
      </c>
    </row>
    <row r="183">
      <c r="A183" s="20" t="n"/>
      <c r="B183" s="8" t="n"/>
      <c r="C183" s="8" t="n"/>
      <c r="D183" s="8" t="n"/>
      <c r="E183" s="8" t="n"/>
      <c r="F183" s="9" t="n"/>
      <c r="G183" s="10" t="n"/>
      <c r="H183" s="11">
        <f>IF(F183="","",F183*G183)</f>
        <v/>
      </c>
    </row>
    <row r="184">
      <c r="A184" s="20" t="n"/>
      <c r="B184" s="8" t="n"/>
      <c r="C184" s="8" t="n"/>
      <c r="D184" s="8" t="n"/>
      <c r="E184" s="8" t="n"/>
      <c r="F184" s="9" t="n"/>
      <c r="G184" s="10" t="n"/>
      <c r="H184" s="11">
        <f>IF(F184="","",F184*G184)</f>
        <v/>
      </c>
    </row>
    <row r="185">
      <c r="A185" s="20" t="n"/>
      <c r="B185" s="8" t="n"/>
      <c r="C185" s="8" t="n"/>
      <c r="D185" s="8" t="n"/>
      <c r="E185" s="8" t="n"/>
      <c r="F185" s="9" t="n"/>
      <c r="G185" s="10" t="n"/>
      <c r="H185" s="11">
        <f>IF(F185="","",F185*G185)</f>
        <v/>
      </c>
    </row>
    <row r="186">
      <c r="A186" s="20" t="n"/>
      <c r="B186" s="8" t="n"/>
      <c r="C186" s="8" t="n"/>
      <c r="D186" s="8" t="n"/>
      <c r="E186" s="8" t="n"/>
      <c r="F186" s="9" t="n"/>
      <c r="G186" s="10" t="n"/>
      <c r="H186" s="11">
        <f>IF(F186="","",F186*G186)</f>
        <v/>
      </c>
    </row>
    <row r="187">
      <c r="A187" s="20" t="n"/>
      <c r="B187" s="8" t="n"/>
      <c r="C187" s="8" t="n"/>
      <c r="D187" s="8" t="n"/>
      <c r="E187" s="8" t="n"/>
      <c r="F187" s="9" t="n"/>
      <c r="G187" s="10" t="n"/>
      <c r="H187" s="11">
        <f>IF(F187="","",F187*G187)</f>
        <v/>
      </c>
    </row>
    <row r="188">
      <c r="A188" s="20" t="n"/>
      <c r="B188" s="8" t="n"/>
      <c r="C188" s="8" t="n"/>
      <c r="D188" s="8" t="n"/>
      <c r="E188" s="8" t="n"/>
      <c r="F188" s="9" t="n"/>
      <c r="G188" s="10" t="n"/>
      <c r="H188" s="11">
        <f>IF(F188="","",F188*G188)</f>
        <v/>
      </c>
    </row>
    <row r="189">
      <c r="A189" s="20" t="n"/>
      <c r="B189" s="8" t="n"/>
      <c r="C189" s="8" t="n"/>
      <c r="D189" s="8" t="n"/>
      <c r="E189" s="8" t="n"/>
      <c r="F189" s="9" t="n"/>
      <c r="G189" s="10" t="n"/>
      <c r="H189" s="11">
        <f>IF(F189="","",F189*G189)</f>
        <v/>
      </c>
    </row>
    <row r="190">
      <c r="A190" s="20" t="n"/>
      <c r="B190" s="8" t="n"/>
      <c r="C190" s="8" t="n"/>
      <c r="D190" s="8" t="n"/>
      <c r="E190" s="8" t="n"/>
      <c r="F190" s="9" t="n"/>
      <c r="G190" s="10" t="n"/>
      <c r="H190" s="11">
        <f>IF(F190="","",F190*G190)</f>
        <v/>
      </c>
    </row>
    <row r="191">
      <c r="A191" s="20" t="n"/>
      <c r="B191" s="8" t="n"/>
      <c r="C191" s="8" t="n"/>
      <c r="D191" s="8" t="n"/>
      <c r="E191" s="8" t="n"/>
      <c r="F191" s="9" t="n"/>
      <c r="G191" s="10" t="n"/>
      <c r="H191" s="11">
        <f>IF(F191="","",F191*G191)</f>
        <v/>
      </c>
    </row>
    <row r="192">
      <c r="A192" s="20" t="n"/>
      <c r="B192" s="8" t="n"/>
      <c r="C192" s="8" t="n"/>
      <c r="D192" s="8" t="n"/>
      <c r="E192" s="8" t="n"/>
      <c r="F192" s="9" t="n"/>
      <c r="G192" s="10" t="n"/>
      <c r="H192" s="11">
        <f>IF(F192="","",F192*G192)</f>
        <v/>
      </c>
    </row>
    <row r="193">
      <c r="A193" s="20" t="n"/>
      <c r="B193" s="8" t="n"/>
      <c r="C193" s="8" t="n"/>
      <c r="D193" s="8" t="n"/>
      <c r="E193" s="8" t="n"/>
      <c r="F193" s="9" t="n"/>
      <c r="G193" s="10" t="n"/>
      <c r="H193" s="11">
        <f>IF(F193="","",F193*G193)</f>
        <v/>
      </c>
    </row>
    <row r="194">
      <c r="A194" s="20" t="n"/>
      <c r="B194" s="8" t="n"/>
      <c r="C194" s="8" t="n"/>
      <c r="D194" s="8" t="n"/>
      <c r="E194" s="8" t="n"/>
      <c r="F194" s="9" t="n"/>
      <c r="G194" s="10" t="n"/>
      <c r="H194" s="11">
        <f>IF(F194="","",F194*G194)</f>
        <v/>
      </c>
    </row>
    <row r="195">
      <c r="A195" s="20" t="n"/>
      <c r="B195" s="8" t="n"/>
      <c r="C195" s="8" t="n"/>
      <c r="D195" s="8" t="n"/>
      <c r="E195" s="8" t="n"/>
      <c r="F195" s="9" t="n"/>
      <c r="G195" s="10" t="n"/>
      <c r="H195" s="11">
        <f>IF(F195="","",F195*G195)</f>
        <v/>
      </c>
    </row>
    <row r="196">
      <c r="A196" s="20" t="n"/>
      <c r="B196" s="8" t="n"/>
      <c r="C196" s="8" t="n"/>
      <c r="D196" s="8" t="n"/>
      <c r="E196" s="8" t="n"/>
      <c r="F196" s="9" t="n"/>
      <c r="G196" s="10" t="n"/>
      <c r="H196" s="11">
        <f>IF(F196="","",F196*G196)</f>
        <v/>
      </c>
    </row>
    <row r="197">
      <c r="A197" s="20" t="n"/>
      <c r="B197" s="8" t="n"/>
      <c r="C197" s="8" t="n"/>
      <c r="D197" s="8" t="n"/>
      <c r="E197" s="8" t="n"/>
      <c r="F197" s="9" t="n"/>
      <c r="G197" s="10" t="n"/>
      <c r="H197" s="11">
        <f>IF(F197="","",F197*G197)</f>
        <v/>
      </c>
    </row>
    <row r="198">
      <c r="A198" s="20" t="n"/>
      <c r="B198" s="8" t="n"/>
      <c r="C198" s="8" t="n"/>
      <c r="D198" s="8" t="n"/>
      <c r="E198" s="8" t="n"/>
      <c r="F198" s="9" t="n"/>
      <c r="G198" s="10" t="n"/>
      <c r="H198" s="11">
        <f>IF(F198="","",F198*G198)</f>
        <v/>
      </c>
    </row>
    <row r="199">
      <c r="A199" s="20" t="n"/>
      <c r="B199" s="8" t="n"/>
      <c r="C199" s="8" t="n"/>
      <c r="D199" s="8" t="n"/>
      <c r="E199" s="8" t="n"/>
      <c r="F199" s="9" t="n"/>
      <c r="G199" s="10" t="n"/>
      <c r="H199" s="11">
        <f>IF(F199="","",F199*G199)</f>
        <v/>
      </c>
    </row>
    <row r="200">
      <c r="A200" s="20" t="n"/>
      <c r="B200" s="8" t="n"/>
      <c r="C200" s="8" t="n"/>
      <c r="D200" s="8" t="n"/>
      <c r="E200" s="8" t="n"/>
      <c r="F200" s="9" t="n"/>
      <c r="G200" s="10" t="n"/>
      <c r="H200" s="11">
        <f>IF(F200="","",F200*G200)</f>
        <v/>
      </c>
    </row>
    <row r="201">
      <c r="A201" s="20" t="n"/>
      <c r="B201" s="8" t="n"/>
      <c r="C201" s="8" t="n"/>
      <c r="D201" s="8" t="n"/>
      <c r="E201" s="8" t="n"/>
      <c r="F201" s="9" t="n"/>
      <c r="G201" s="10" t="n"/>
      <c r="H201" s="11">
        <f>IF(F201="","",F201*G201)</f>
        <v/>
      </c>
    </row>
    <row r="202">
      <c r="A202" s="20" t="n"/>
      <c r="B202" s="8" t="n"/>
      <c r="C202" s="8" t="n"/>
      <c r="D202" s="8" t="n"/>
      <c r="E202" s="8" t="n"/>
      <c r="F202" s="9" t="n"/>
      <c r="G202" s="10" t="n"/>
      <c r="H202" s="11">
        <f>IF(F202="","",F202*G202)</f>
        <v/>
      </c>
    </row>
    <row r="203">
      <c r="A203" s="20" t="n"/>
      <c r="B203" s="8" t="n"/>
      <c r="C203" s="8" t="n"/>
      <c r="D203" s="8" t="n"/>
      <c r="E203" s="8" t="n"/>
      <c r="F203" s="9" t="n"/>
      <c r="G203" s="10" t="n"/>
      <c r="H203" s="11">
        <f>IF(F203="","",F203*G203)</f>
        <v/>
      </c>
    </row>
    <row r="204">
      <c r="A204" s="20" t="n"/>
      <c r="B204" s="8" t="n"/>
      <c r="C204" s="8" t="n"/>
      <c r="D204" s="8" t="n"/>
      <c r="E204" s="8" t="n"/>
      <c r="F204" s="9" t="n"/>
      <c r="G204" s="10" t="n"/>
      <c r="H204" s="11">
        <f>IF(F204="","",F204*G204)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2026-03-26T15:04:53Z</dcterms:created>
  <dcterms:modified xsi:type="dcterms:W3CDTF">2026-03-27T03:31:03Z</dcterms:modified>
  <cp:lastModifiedBy>George Johnson</cp:lastModifiedBy>
</cp:coreProperties>
</file>